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etencias_2S_2026" state="visible" r:id="rId4"/>
    <sheet sheetId="2" name="Contenido Curricular" state="visible" r:id="rId5"/>
    <sheet sheetId="3" name="Semana Diagnostico" state="visible" r:id="rId6"/>
    <sheet sheetId="4" name="S. 2" state="visible" r:id="rId7"/>
    <sheet sheetId="5" name="S. 3" state="visible" r:id="rId8"/>
    <sheet sheetId="6" name="S. 4" state="visible" r:id="rId9"/>
    <sheet sheetId="7" name="S. 5" state="visible" r:id="rId10"/>
    <sheet sheetId="8" name="S. 6" state="visible" r:id="rId11"/>
    <sheet sheetId="9" name="S. 7" state="visible" r:id="rId12"/>
    <sheet sheetId="10" name="S. 8" state="visible" r:id="rId13"/>
    <sheet sheetId="11" name="S. 9" state="visible" r:id="rId14"/>
    <sheet sheetId="12" name="S. 10" state="visible" r:id="rId15"/>
    <sheet sheetId="13" name="S. 11" state="visible" r:id="rId16"/>
  </sheets>
  <calcPr calcId="171027" fullCalcOnLoad="1"/>
</workbook>
</file>

<file path=xl/sharedStrings.xml><?xml version="1.0" encoding="utf-8"?>
<sst xmlns="http://schemas.openxmlformats.org/spreadsheetml/2006/main" count="1127" uniqueCount="191">
  <si>
    <t>Competencias que se formaran en el Segundo Semestre 2026</t>
  </si>
  <si>
    <t>No</t>
  </si>
  <si>
    <t>Tipo</t>
  </si>
  <si>
    <t>Verbo en Presente</t>
  </si>
  <si>
    <t>Objeto de la acción</t>
  </si>
  <si>
    <t xml:space="preserve">[Palabras conectoreas]
Herramientas o metodología</t>
  </si>
  <si>
    <t xml:space="preserve">[Palabras conectoreas]
Condiciones específicas</t>
  </si>
  <si>
    <t>Nivel</t>
  </si>
  <si>
    <t>Contenido Curricular Introducción a la Programación y Computación 1 2S 2026</t>
  </si>
  <si>
    <t>Unidad</t>
  </si>
  <si>
    <t>Tema</t>
  </si>
  <si>
    <t>Subtema</t>
  </si>
  <si>
    <t>Mes</t>
  </si>
  <si>
    <t>Semana</t>
  </si>
  <si>
    <t>Competencia</t>
  </si>
  <si>
    <t>1. Introducción a la Programación</t>
  </si>
  <si>
    <t>Introducción a los fundamentos de Programación</t>
  </si>
  <si>
    <t>Algoritmos</t>
  </si>
  <si>
    <t/>
  </si>
  <si>
    <t>Diagramas de Flujo</t>
  </si>
  <si>
    <t>Pseudocódigo</t>
  </si>
  <si>
    <t>2. Introducción al versionamiento</t>
  </si>
  <si>
    <t>Introducción al manejo de control de versiones</t>
  </si>
  <si>
    <t>Introducción a versionamiento</t>
  </si>
  <si>
    <t>Herramientas de control de versiones</t>
  </si>
  <si>
    <t>Tareas básicas de Git</t>
  </si>
  <si>
    <t>Colaboración en repositorios remotos</t>
  </si>
  <si>
    <t>3. Introducción a Java</t>
  </si>
  <si>
    <t>Introducción a Java - Parte 1</t>
  </si>
  <si>
    <t>¿Qué es Java?</t>
  </si>
  <si>
    <t>Introducción a Java - Parte 2</t>
  </si>
  <si>
    <t>Versiones y ambientes de java (JDK, JRE, JVM)</t>
  </si>
  <si>
    <t>Operadores aritméticos, relacionales y lógicos</t>
  </si>
  <si>
    <t>Introducción a Java - Parte 3</t>
  </si>
  <si>
    <t>Características de Java</t>
  </si>
  <si>
    <t>Input y output</t>
  </si>
  <si>
    <t>Introducción a Java - Parte 4</t>
  </si>
  <si>
    <t>Comentarios de una línea y multilínea</t>
  </si>
  <si>
    <t>Estructuras de control (if, else if, else y switch)</t>
  </si>
  <si>
    <t>Introducción a Java - Parte 5</t>
  </si>
  <si>
    <t>Variables</t>
  </si>
  <si>
    <t>Ciclos (for, while, do-while)</t>
  </si>
  <si>
    <t>Introducción a Java - Parte 6</t>
  </si>
  <si>
    <t>Tipos primitivos y no primitivos</t>
  </si>
  <si>
    <t>Try-catch-finally</t>
  </si>
  <si>
    <t>Introducción a Java - Parte 7</t>
  </si>
  <si>
    <t>Casteos implícitos y explícitos</t>
  </si>
  <si>
    <t>Procedimientos y funciones</t>
  </si>
  <si>
    <t>Introducción a Java - Parte 8</t>
  </si>
  <si>
    <t>Debugging (Breakpoint [Inline, function], start, pause, continue, stop)</t>
  </si>
  <si>
    <t>4. Manejo de Memoria</t>
  </si>
  <si>
    <t>Manejo de memoria</t>
  </si>
  <si>
    <t>Arreglos y Matrices</t>
  </si>
  <si>
    <t>Listas Dinámicas</t>
  </si>
  <si>
    <t>Métodos de Ordenamiento</t>
  </si>
  <si>
    <t>5. Recursividad y Archivos</t>
  </si>
  <si>
    <t>Recursividad y Archivos de texto plano</t>
  </si>
  <si>
    <t>Pila de ejecución (Call Stack)</t>
  </si>
  <si>
    <t>Recursividad</t>
  </si>
  <si>
    <t>Manejo de archivos de texto plano</t>
  </si>
  <si>
    <t>6. Introducción a POO</t>
  </si>
  <si>
    <t>Conceptos y Pilares de POO</t>
  </si>
  <si>
    <t>Concepto de abstracción y clasificación</t>
  </si>
  <si>
    <t>Clases y objetos</t>
  </si>
  <si>
    <t>Mensajes y métodos</t>
  </si>
  <si>
    <t>Pilares de POO: Abstracción, Encapsulamiento, Polimorfismo, Herencia</t>
  </si>
  <si>
    <t>Los miembros de una clase</t>
  </si>
  <si>
    <t>Atributos y métodos (operaciones)</t>
  </si>
  <si>
    <t>Constructores y Destructores</t>
  </si>
  <si>
    <t>Modificadores de visibilidad: Privado, Público, Protegido</t>
  </si>
  <si>
    <t>7. Introducción a Interfaces Graficas</t>
  </si>
  <si>
    <t>Introducción a Swing y Awt</t>
  </si>
  <si>
    <t>Elementos basicos de swing</t>
  </si>
  <si>
    <t>8. Patrones de diseño</t>
  </si>
  <si>
    <t>Patron de diseño: MVC</t>
  </si>
  <si>
    <t>Definición y sus componentes</t>
  </si>
  <si>
    <t>Modelo</t>
  </si>
  <si>
    <t>Vista</t>
  </si>
  <si>
    <t>Controlador</t>
  </si>
  <si>
    <t>7. POO Avanzado</t>
  </si>
  <si>
    <t>Conceptos Avanzados de POO</t>
  </si>
  <si>
    <t>Construcciones abstractas: Clase abstracta y Interface</t>
  </si>
  <si>
    <t>Miembros estáticos (static) vs. miembros de instancia</t>
  </si>
  <si>
    <t>Referencia this</t>
  </si>
  <si>
    <t>Serialización de objetos en archivos</t>
  </si>
  <si>
    <t>9. Hilos</t>
  </si>
  <si>
    <t>Manejo de Hilos en Java</t>
  </si>
  <si>
    <t>Definición de Hilos</t>
  </si>
  <si>
    <t>Ciclo de vida de un hilo</t>
  </si>
  <si>
    <t>Creación de hilos</t>
  </si>
  <si>
    <t>Multihilos</t>
  </si>
  <si>
    <t>10. Fundamentos de GUI</t>
  </si>
  <si>
    <t>Fundamentos de GUI, AWT y SWING</t>
  </si>
  <si>
    <t>Concepto de GUI (Interfaz gráfica de usuario).</t>
  </si>
  <si>
    <t>¿Que es AWT?</t>
  </si>
  <si>
    <t>Componentes basicos de AWT</t>
  </si>
  <si>
    <t>Gestores de diseño (Layout Managers) en AWT</t>
  </si>
  <si>
    <t>Manejo de eventos en AWT</t>
  </si>
  <si>
    <t>¿Que es SWING?</t>
  </si>
  <si>
    <t>Componentes basicos de SWING</t>
  </si>
  <si>
    <t>11. Swing Avanzado y UML</t>
  </si>
  <si>
    <t>SWING avanzado, UML y diagramas de clases</t>
  </si>
  <si>
    <t>Gestores de diseño (Layout Managers) en SWING</t>
  </si>
  <si>
    <t>Manejo de eventos en SWING</t>
  </si>
  <si>
    <t>Diferencias entre AWT y SWING</t>
  </si>
  <si>
    <t>Drag and Drop</t>
  </si>
  <si>
    <t>¿Que es UML?</t>
  </si>
  <si>
    <t>Diagrama de clases</t>
  </si>
  <si>
    <t>Notaciones del diagrama de clases (clases, visibilidad, relaciones)</t>
  </si>
  <si>
    <t>12. Cloud computing</t>
  </si>
  <si>
    <t>Cloud Computing</t>
  </si>
  <si>
    <t>Ventajas y Desventajas</t>
  </si>
  <si>
    <t>Tipos de Nube</t>
  </si>
  <si>
    <t>Publica, privada, hibrida</t>
  </si>
  <si>
    <t>Modelos en la Nube</t>
  </si>
  <si>
    <t>SaaS, PaaS, IaaS</t>
  </si>
  <si>
    <t>Servicios en la nube</t>
  </si>
  <si>
    <t>Proveedores de Nube</t>
  </si>
  <si>
    <t>Diseño de Contenido Curricular</t>
  </si>
  <si>
    <t>Curso</t>
  </si>
  <si>
    <t>770 - Introducción a la Programación y Computación 1</t>
  </si>
  <si>
    <t>Tiempo</t>
  </si>
  <si>
    <t>1. Bienvenida y Presentación</t>
  </si>
  <si>
    <t>Tiempo Aproximado</t>
  </si>
  <si>
    <t>No puedes excederte mas de 15 minutos</t>
  </si>
  <si>
    <t>Nombre y Formacion Academica</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</si>
  <si>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</si>
  <si>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</si>
  <si>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</si>
  <si>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Expectativas sobre la dinámica del curso</t>
  </si>
  <si>
    <t>Tiempo que emplearas</t>
  </si>
  <si>
    <t>2. Evaluación de Conocimientos Previos</t>
  </si>
  <si>
    <t>No puedes excederte mas de 45 minutos</t>
  </si>
  <si>
    <t>Redactaras de 15 a 20 preguntas con sus respectivas respuestas, por lo que debes escoger los temas que evaluaras</t>
  </si>
  <si>
    <t xml:space="preserve">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</si>
  <si>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</si>
  <si>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3. Presentación de los Estudiantes</t>
  </si>
  <si>
    <t>No puedes excederte mas de 30 minutos</t>
  </si>
  <si>
    <t>Selección al Azar de 5 Estudiantes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</si>
  <si>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</si>
  <si>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</si>
  <si>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4. Censo de Horarios de Calificación</t>
  </si>
  <si>
    <t>No puedes excederte mas de 5 minutos Esta actividad quedara abierta hasta el fin de la clase. pero emplearas 5 min especificos para la actividad</t>
  </si>
  <si>
    <t>Link de google forms donde este el cuestionario</t>
  </si>
  <si>
    <t xml:space="preserve">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</si>
  <si>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</si>
  <si>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5. Mostrar Programa del Curso</t>
  </si>
  <si>
    <t>6. Evaluación de Conocimientos del Curso Actual</t>
  </si>
  <si>
    <t>Redactaras 20 preguntas con sus respectivas respuestas</t>
  </si>
  <si>
    <t>Diseño de la Sesión de Laboratorio</t>
  </si>
  <si>
    <t>Ponderación</t>
  </si>
  <si>
    <t>Validación de Tiempo</t>
  </si>
  <si>
    <t>1. Área Actitudinal (Saber Ser)</t>
  </si>
  <si>
    <t>Tiene que estar en un rango de 3 a 5 minutos</t>
  </si>
  <si>
    <t>Nombre del Valor</t>
  </si>
  <si>
    <t>Descripcion</t>
  </si>
  <si>
    <t>Como se relaciona con los conocimientos de la sesion y se aplicaria</t>
  </si>
  <si>
    <t>2. Área Conocimiento (Saber)</t>
  </si>
  <si>
    <t>No puede exceder los 60 minutos</t>
  </si>
  <si>
    <t>Competencia a desarrollar</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</si>
  <si>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</si>
  <si>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</si>
  <si>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</si>
  <si>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</si>
  <si>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</si>
  <si>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</si>
  <si>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</si>
  <si>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</si>
  <si>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</si>
  <si>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</si>
  <si>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</si>
  <si>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</si>
  <si>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</si>
  <si>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</si>
  <si>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</si>
  <si>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</si>
  <si>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</si>
  <si>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</si>
  <si>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</si>
  <si>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</si>
  <si>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</si>
  <si>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</si>
  <si>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</si>
  <si>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</si>
  <si>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Actividad 2 (Optativa puedes hacerla si lo consideras apropiado)</t>
  </si>
  <si>
    <t>Coloca el tiempo que usar en la actividad, un tiempo sugerido 20 minutos</t>
  </si>
  <si>
    <t>4. Cierre</t>
  </si>
  <si>
    <t>Tiene que estar en un rango de 10 a 15 minutos</t>
  </si>
  <si>
    <t>Asignacion de Actividades</t>
  </si>
  <si>
    <t>Resolución de dudas, aclaraciones pendientes y anuncios importantes.</t>
  </si>
  <si>
    <t>Resuelve alguna duda, asigna las actividades que deben realizar, dudas de proyectos,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</si>
</sst>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color rgb="00000000"/>
    </font>
    <font>
      <b/>
      <color rgb="FFFF6600"/>
      <sz val="14"/>
    </font>
    <font>
      <b/>
      <sz val="10"/>
    </font>
    <font>
      <b/>
      <sz val="14"/>
    </font>
    <font>
      <b/>
    </font>
    <font>
      <b/>
      <color rgb="FF3399FF"/>
      <sz val="12"/>
    </font>
    <font>
      <b/>
      <color rgb="FFFFFFFF"/>
    </font>
    <font>
      <color rgb="FF808080"/>
      <sz val="9"/>
    </font>
    <font>
      <sz val="11"/>
      <name val="Calibri"/>
    </font>
    <font>
      <color rgb="FF808080"/>
      <sz val="24"/>
    </font>
    <font>
      <b/>
      <color rgb="FF4472C4"/>
      <sz val="12"/>
    </font>
    <font>
      <color rgb="FF808080"/>
    </font>
  </fonts>
  <fills count="12">
    <fill>
      <patternFill patternType="none"/>
    </fill>
    <fill>
      <patternFill patternType="gray125"/>
    </fill>
    <fill>
      <patternFill patternType="solid">
        <fgColor rgb="FFBDD7EE"/>
      </patternFill>
    </fill>
    <fill>
      <patternFill patternType="solid">
        <fgColor rgb="FFFFFF00"/>
      </patternFill>
    </fill>
    <fill>
      <patternFill patternType="solid">
        <fgColor rgb="FFFF0000"/>
      </patternFill>
    </fill>
    <fill>
      <patternFill patternType="solid">
        <fgColor rgb="FFFF00FF"/>
      </patternFill>
    </fill>
    <fill>
      <patternFill patternType="solid">
        <fgColor rgb="FF00FF00"/>
      </patternFill>
    </fill>
    <fill>
      <patternFill patternType="solid">
        <fgColor rgb="FF4472C4"/>
      </patternFill>
    </fill>
    <fill>
      <patternFill patternType="solid">
        <fgColor rgb="FFE2EFDA"/>
      </patternFill>
    </fill>
    <fill>
      <patternFill patternType="solid">
        <fgColor rgb="FFBFBFBF"/>
      </patternFill>
    </fill>
    <fill>
      <patternFill patternType="solid">
        <fgColor rgb="FFEDEDED"/>
      </patternFill>
    </fill>
    <fill>
      <patternFill patternType="solid">
        <fgColor rgb="FFFFFFFF"/>
      </patternFill>
    </fill>
  </fills>
  <borders count="2">
    <border>
      <left/>
      <right/>
      <top/>
      <bottom/>
      <diagonal/>
    </border>
    <border>
      <left style="thin"/>
      <right style="thin"/>
      <top style="thin"/>
      <bottom style="thin"/>
      <diagonal/>
    </border>
  </borders>
  <cellStyleXfs count="1">
    <xf numFmtId="0" fontId="0" fillId="0" borderId="0"/>
  </cellStyleXfs>
  <cellXfs count="44">
    <xf numFmtId="0" fontId="0" fillId="0" borderId="0" xfId="0"/>
    <xf numFmtId="0" fontId="0" fillId="0" borderId="0" xfId="0" applyProtection="1">
      <protection locked="0"/>
    </xf>
    <xf numFmtId="0" fontId="1" fillId="0" borderId="0" xfId="0" applyFont="1" applyProtection="1"/>
    <xf numFmtId="0" fontId="2" fillId="0" borderId="0" xfId="0" applyFont="1" applyAlignment="1" applyProtection="1">
      <alignment horizontal="center" vertical="center"/>
      <protection locked="0"/>
    </xf>
    <xf numFmtId="0" fontId="3" fillId="2"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0" fontId="3" fillId="4" borderId="1"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0" fillId="0" borderId="1" xfId="0" applyBorder="1" applyProtection="1">
      <protection locked="0"/>
    </xf>
    <xf numFmtId="0" fontId="0" fillId="3" borderId="1" xfId="0" applyFill="1" applyBorder="1" applyProtection="1">
      <protection locked="0"/>
    </xf>
    <xf numFmtId="0" fontId="0" fillId="4" borderId="1" xfId="0" applyFill="1" applyBorder="1" applyProtection="1">
      <protection locked="0"/>
    </xf>
    <xf numFmtId="0" fontId="0" fillId="5" borderId="1" xfId="0" applyFill="1" applyBorder="1" applyProtection="1">
      <protection locked="0"/>
    </xf>
    <xf numFmtId="0" fontId="0" fillId="6" borderId="1" xfId="0" applyFill="1" applyBorder="1" applyProtection="1">
      <protection locked="0"/>
    </xf>
    <xf numFmtId="0" fontId="0" fillId="7" borderId="1" xfId="0" applyFill="1" applyBorder="1" applyProtection="1">
      <protection locked="0"/>
    </xf>
    <xf numFmtId="0" fontId="0" fillId="8" borderId="1" xfId="0" applyFill="1" applyBorder="1" applyAlignment="1" applyProtection="1">
      <alignment vertical="top" wrapText="1"/>
      <protection locked="0"/>
    </xf>
    <xf numFmtId="0" fontId="4" fillId="0" borderId="0" xfId="0" applyFont="1" applyAlignment="1">
      <alignment horizontal="center"/>
    </xf>
    <xf numFmtId="0" fontId="5" fillId="9" borderId="1" xfId="0" applyFont="1" applyFill="1" applyBorder="1" applyAlignment="1">
      <alignment horizontal="center" vertical="center"/>
    </xf>
    <xf numFmtId="0" fontId="0" fillId="0" borderId="1" xfId="0" applyBorder="1" applyAlignment="1">
      <alignment vertical="top" wrapText="1"/>
    </xf>
    <xf numFmtId="0" fontId="2" fillId="0" borderId="0" xfId="0" applyFont="1"/>
    <xf numFmtId="0" fontId="0" fillId="0" borderId="1" xfId="0" applyBorder="1"/>
    <xf numFmtId="0" fontId="6" fillId="0" borderId="0" xfId="0" applyFont="1"/>
    <xf numFmtId="0" fontId="6" fillId="0" borderId="0" xfId="0" applyFont="1" applyAlignment="1">
      <alignment horizontal="right" vertical="center" wrapText="1"/>
    </xf>
    <xf numFmtId="0" fontId="7" fillId="7" borderId="1" xfId="0" applyFont="1" applyFill="1" applyBorder="1" applyAlignment="1">
      <alignment horizontal="center" vertical="center"/>
    </xf>
    <xf numFmtId="0" fontId="8" fillId="0" borderId="0" xfId="0" applyFont="1" applyAlignment="1">
      <alignment horizontal="right" vertical="top"/>
    </xf>
    <xf numFmtId="0" fontId="9" fillId="10" borderId="1" xfId="0" applyFont="1" applyFill="1" applyBorder="1" applyAlignment="1">
      <alignment vertical="top" wrapText="1"/>
    </xf>
    <xf numFmtId="0" fontId="0" fillId="11" borderId="1" xfId="0" applyFill="1" applyBorder="1" applyAlignment="1">
      <alignment vertical="top" wrapText="1"/>
    </xf>
    <xf numFmtId="0" fontId="10" fillId="0" borderId="1" xfId="0" applyFont="1" applyBorder="1" applyAlignment="1">
      <alignment horizontal="center" vertical="center"/>
    </xf>
    <xf numFmtId="0" fontId="8" fillId="0" borderId="0" xfId="0" applyFont="1" applyAlignment="1">
      <alignment horizontal="center" vertical="top" wrapText="1"/>
    </xf>
    <xf numFmtId="0" fontId="0" fillId="8" borderId="1" xfId="0" applyFill="1" applyBorder="1" applyAlignment="1">
      <alignment horizontal="center"/>
    </xf>
    <xf numFmtId="0" fontId="0" fillId="0" borderId="1" xfId="0" applyBorder="1" applyAlignment="1">
      <alignment horizontal="right"/>
    </xf>
    <xf numFmtId="0" fontId="0" fillId="0" borderId="1" xfId="0" applyBorder="1" applyAlignment="1">
      <alignment horizontal="center"/>
    </xf>
    <xf numFmtId="0" fontId="11" fillId="0" borderId="0" xfId="0" applyFont="1"/>
    <xf numFmtId="0" fontId="11" fillId="0" borderId="0" xfId="0" applyFont="1" applyAlignment="1">
      <alignment horizontal="right"/>
    </xf>
    <xf numFmtId="0" fontId="7" fillId="7" borderId="0" xfId="0" applyFont="1" applyFill="1" applyAlignment="1">
      <alignment horizontal="right"/>
    </xf>
    <xf numFmtId="0" fontId="12" fillId="0" borderId="0" xfId="0" applyFont="1" applyAlignment="1">
      <alignment horizontal="right"/>
    </xf>
    <xf numFmtId="0" fontId="0" fillId="10" borderId="1" xfId="0" applyFill="1" applyBorder="1"/>
    <xf numFmtId="0" fontId="5" fillId="10" borderId="1" xfId="0" applyFont="1" applyFill="1" applyBorder="1" applyAlignment="1">
      <alignment horizontal="center"/>
    </xf>
    <xf numFmtId="0" fontId="0" fillId="0" borderId="1" xfId="0" applyBorder="1" applyAlignment="1">
      <alignment horizontal="center" vertical="top"/>
    </xf>
    <xf numFmtId="0" fontId="11" fillId="10" borderId="1" xfId="0" applyFont="1" applyFill="1" applyBorder="1"/>
    <xf numFmtId="0" fontId="5" fillId="10" borderId="1" xfId="0" applyFont="1" applyFill="1" applyBorder="1"/>
    <xf numFmtId="0" fontId="1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20"/>
  <sheetFormatPr defaultRowHeight="15" outlineLevelRow="0" outlineLevelCol="0" x14ac:dyDescent="55"/>
  <cols>
    <col min="1" max="1" width="9" style="1" customWidth="1"/>
    <col min="2" max="2" width="5" style="1" customWidth="1"/>
    <col min="3" max="3" width="12" style="1" customWidth="1"/>
    <col min="4" max="4" width="20" style="1" customWidth="1"/>
    <col min="5" max="7" width="25" style="1" customWidth="1"/>
    <col min="8" max="8" width="10" style="1" customWidth="1"/>
    <col min="9" max="9" width="9" style="1" customWidth="1"/>
    <col min="10" max="10" width="9" style="1" customWidth="1"/>
    <col min="11" max="11" width="9" style="1" customWidth="1"/>
    <col min="12" max="12" width="9" style="1" customWidth="1"/>
    <col min="13" max="13" width="9" style="1" customWidth="1"/>
    <col min="14" max="14" width="9" style="1" customWidth="1"/>
    <col min="15" max="15" width="9" style="1" customWidth="1"/>
    <col min="16" max="16" width="9" style="2" hidden="1" customWidth="1"/>
  </cols>
  <sheetData>
    <row r="2" spans="1:16" x14ac:dyDescent="0.25">
      <c r="A2" s="1"/>
      <c r="B2" s="3" t="s">
        <v>0</v>
      </c>
      <c r="C2" s="1"/>
      <c r="D2" s="1"/>
      <c r="E2" s="1"/>
      <c r="F2" s="1"/>
      <c r="G2" s="1"/>
      <c r="H2" s="1"/>
      <c r="I2" s="1"/>
      <c r="J2" s="1"/>
      <c r="K2" s="1"/>
      <c r="L2" s="1"/>
      <c r="M2" s="1"/>
      <c r="N2" s="1"/>
      <c r="O2" s="1"/>
      <c r="P2" s="2"/>
    </row>
    <row r="4" spans="1:16" x14ac:dyDescent="0.25">
      <c r="A4" s="1"/>
      <c r="B4" s="4" t="s">
        <v>1</v>
      </c>
      <c r="C4" s="4" t="s">
        <v>2</v>
      </c>
      <c r="D4" s="5" t="s">
        <v>3</v>
      </c>
      <c r="E4" s="6" t="s">
        <v>4</v>
      </c>
      <c r="F4" s="7" t="s">
        <v>5</v>
      </c>
      <c r="G4" s="8" t="s">
        <v>6</v>
      </c>
      <c r="H4" s="9" t="s">
        <v>7</v>
      </c>
      <c r="I4" s="1"/>
      <c r="J4" s="1"/>
      <c r="K4" s="1"/>
      <c r="L4" s="1"/>
      <c r="M4" s="1"/>
      <c r="N4" s="1"/>
      <c r="O4" s="1"/>
      <c r="P4" s="2"/>
    </row>
    <row r="5" spans="1:16" x14ac:dyDescent="0.25">
      <c r="A5" s="1"/>
      <c r="B5" s="10">
        <v>1</v>
      </c>
      <c r="C5" s="11"/>
      <c r="D5" s="12"/>
      <c r="E5" s="13"/>
      <c r="F5" s="14"/>
      <c r="G5" s="15"/>
      <c r="H5" s="16"/>
      <c r="I5" s="1"/>
      <c r="J5" s="1"/>
      <c r="K5" s="1"/>
      <c r="L5" s="1"/>
      <c r="M5" s="1"/>
      <c r="N5" s="1"/>
      <c r="O5" s="1"/>
      <c r="P5" s="2">
        <f>IF(TRIM(C6)="", "", C6)</f>
      </c>
    </row>
    <row r="6" spans="1:16" x14ac:dyDescent="0.25">
      <c r="A6" s="1"/>
      <c r="B6" s="11"/>
      <c r="C6" s="17">
        <f>D5 &amp; " " &amp; E5 &amp; " " &amp; F5 &amp; " " &amp; G5</f>
      </c>
      <c r="D6" s="17"/>
      <c r="E6" s="17"/>
      <c r="F6" s="17"/>
      <c r="G6" s="17"/>
      <c r="H6" s="17"/>
      <c r="I6" s="1"/>
      <c r="J6" s="1"/>
      <c r="K6" s="1"/>
      <c r="L6" s="1"/>
      <c r="M6" s="1"/>
      <c r="N6" s="1"/>
      <c r="O6" s="1"/>
      <c r="P6" s="2"/>
    </row>
    <row r="7" spans="1:16" x14ac:dyDescent="0.25">
      <c r="A7" s="1"/>
      <c r="B7" s="10">
        <v>2</v>
      </c>
      <c r="C7" s="11"/>
      <c r="D7" s="12"/>
      <c r="E7" s="13"/>
      <c r="F7" s="14"/>
      <c r="G7" s="15"/>
      <c r="H7" s="16"/>
      <c r="I7" s="1"/>
      <c r="J7" s="1"/>
      <c r="K7" s="1"/>
      <c r="L7" s="1"/>
      <c r="M7" s="1"/>
      <c r="N7" s="1"/>
      <c r="O7" s="1"/>
      <c r="P7" s="2">
        <f>IF(TRIM(C8)="", "", C8)</f>
      </c>
    </row>
    <row r="8" spans="1:16" x14ac:dyDescent="0.25">
      <c r="A8" s="1"/>
      <c r="B8" s="11"/>
      <c r="C8" s="17">
        <f>D7 &amp; " " &amp; E7 &amp; " " &amp; F7 &amp; " " &amp; G7</f>
      </c>
      <c r="D8" s="17"/>
      <c r="E8" s="17"/>
      <c r="F8" s="17"/>
      <c r="G8" s="17"/>
      <c r="H8" s="17"/>
      <c r="I8" s="1"/>
      <c r="J8" s="1"/>
      <c r="K8" s="1"/>
      <c r="L8" s="1"/>
      <c r="M8" s="1"/>
      <c r="N8" s="1"/>
      <c r="O8" s="1"/>
      <c r="P8" s="2"/>
    </row>
    <row r="9" spans="1:16" x14ac:dyDescent="0.25">
      <c r="A9" s="1"/>
      <c r="B9" s="10">
        <v>3</v>
      </c>
      <c r="C9" s="11"/>
      <c r="D9" s="12"/>
      <c r="E9" s="13"/>
      <c r="F9" s="14"/>
      <c r="G9" s="15"/>
      <c r="H9" s="16"/>
      <c r="I9" s="1"/>
      <c r="J9" s="1"/>
      <c r="K9" s="1"/>
      <c r="L9" s="1"/>
      <c r="M9" s="1"/>
      <c r="N9" s="1"/>
      <c r="O9" s="1"/>
      <c r="P9" s="2">
        <f>IF(TRIM(C10)="", "", C10)</f>
      </c>
    </row>
    <row r="10" spans="1:16" x14ac:dyDescent="0.25">
      <c r="A10" s="1"/>
      <c r="B10" s="11"/>
      <c r="C10" s="17">
        <f>D9 &amp; " " &amp; E9 &amp; " " &amp; F9 &amp; " " &amp; G9</f>
      </c>
      <c r="D10" s="17"/>
      <c r="E10" s="17"/>
      <c r="F10" s="17"/>
      <c r="G10" s="17"/>
      <c r="H10" s="17"/>
      <c r="I10" s="1"/>
      <c r="J10" s="1"/>
      <c r="K10" s="1"/>
      <c r="L10" s="1"/>
      <c r="M10" s="1"/>
      <c r="N10" s="1"/>
      <c r="O10" s="1"/>
      <c r="P10" s="2"/>
    </row>
    <row r="11" spans="1:16" x14ac:dyDescent="0.25">
      <c r="A11" s="1"/>
      <c r="B11" s="10">
        <v>4</v>
      </c>
      <c r="C11" s="11"/>
      <c r="D11" s="12"/>
      <c r="E11" s="13"/>
      <c r="F11" s="14"/>
      <c r="G11" s="15"/>
      <c r="H11" s="16"/>
      <c r="I11" s="1"/>
      <c r="J11" s="1"/>
      <c r="K11" s="1"/>
      <c r="L11" s="1"/>
      <c r="M11" s="1"/>
      <c r="N11" s="1"/>
      <c r="O11" s="1"/>
      <c r="P11" s="2">
        <f>IF(TRIM(C12)="", "", C12)</f>
      </c>
    </row>
    <row r="12" spans="1:16" x14ac:dyDescent="0.25">
      <c r="A12" s="1"/>
      <c r="B12" s="11"/>
      <c r="C12" s="17">
        <f>D11 &amp; " " &amp; E11 &amp; " " &amp; F11 &amp; " " &amp; G11</f>
      </c>
      <c r="D12" s="17"/>
      <c r="E12" s="17"/>
      <c r="F12" s="17"/>
      <c r="G12" s="17"/>
      <c r="H12" s="17"/>
      <c r="I12" s="1"/>
      <c r="J12" s="1"/>
      <c r="K12" s="1"/>
      <c r="L12" s="1"/>
      <c r="M12" s="1"/>
      <c r="N12" s="1"/>
      <c r="O12" s="1"/>
      <c r="P12" s="2"/>
    </row>
    <row r="13" spans="1:16" x14ac:dyDescent="0.25">
      <c r="A13" s="1"/>
      <c r="B13" s="10">
        <v>5</v>
      </c>
      <c r="C13" s="11"/>
      <c r="D13" s="12"/>
      <c r="E13" s="13"/>
      <c r="F13" s="14"/>
      <c r="G13" s="15"/>
      <c r="H13" s="16"/>
      <c r="I13" s="1"/>
      <c r="J13" s="1"/>
      <c r="K13" s="1"/>
      <c r="L13" s="1"/>
      <c r="M13" s="1"/>
      <c r="N13" s="1"/>
      <c r="O13" s="1"/>
      <c r="P13" s="2">
        <f>IF(TRIM(C14)="", "", C14)</f>
      </c>
    </row>
    <row r="14" spans="1:16" x14ac:dyDescent="0.25">
      <c r="A14" s="1"/>
      <c r="B14" s="11"/>
      <c r="C14" s="17">
        <f>D13 &amp; " " &amp; E13 &amp; " " &amp; F13 &amp; " " &amp; G13</f>
      </c>
      <c r="D14" s="17"/>
      <c r="E14" s="17"/>
      <c r="F14" s="17"/>
      <c r="G14" s="17"/>
      <c r="H14" s="17"/>
      <c r="I14" s="1"/>
      <c r="J14" s="1"/>
      <c r="K14" s="1"/>
      <c r="L14" s="1"/>
      <c r="M14" s="1"/>
      <c r="N14" s="1"/>
      <c r="O14" s="1"/>
      <c r="P14" s="2"/>
    </row>
    <row r="15" spans="1:16" x14ac:dyDescent="0.25">
      <c r="A15" s="1"/>
      <c r="B15" s="10">
        <v>6</v>
      </c>
      <c r="C15" s="11"/>
      <c r="D15" s="12"/>
      <c r="E15" s="13"/>
      <c r="F15" s="14"/>
      <c r="G15" s="15"/>
      <c r="H15" s="16"/>
      <c r="I15" s="1"/>
      <c r="J15" s="1"/>
      <c r="K15" s="1"/>
      <c r="L15" s="1"/>
      <c r="M15" s="1"/>
      <c r="N15" s="1"/>
      <c r="O15" s="1"/>
      <c r="P15" s="2">
        <f>IF(TRIM(C16)="", "", C16)</f>
      </c>
    </row>
    <row r="16" spans="1:16" x14ac:dyDescent="0.25">
      <c r="A16" s="1"/>
      <c r="B16" s="11"/>
      <c r="C16" s="17">
        <f>D15 &amp; " " &amp; E15 &amp; " " &amp; F15 &amp; " " &amp; G15</f>
      </c>
      <c r="D16" s="17"/>
      <c r="E16" s="17"/>
      <c r="F16" s="17"/>
      <c r="G16" s="17"/>
      <c r="H16" s="17"/>
      <c r="I16" s="1"/>
      <c r="J16" s="1"/>
      <c r="K16" s="1"/>
      <c r="L16" s="1"/>
      <c r="M16" s="1"/>
      <c r="N16" s="1"/>
      <c r="O16" s="1"/>
      <c r="P16" s="2"/>
    </row>
    <row r="17" spans="1:16" x14ac:dyDescent="0.25">
      <c r="A17" s="1"/>
      <c r="B17" s="10">
        <v>7</v>
      </c>
      <c r="C17" s="11"/>
      <c r="D17" s="12"/>
      <c r="E17" s="13"/>
      <c r="F17" s="14"/>
      <c r="G17" s="15"/>
      <c r="H17" s="16"/>
      <c r="I17" s="1"/>
      <c r="J17" s="1"/>
      <c r="K17" s="1"/>
      <c r="L17" s="1"/>
      <c r="M17" s="1"/>
      <c r="N17" s="1"/>
      <c r="O17" s="1"/>
      <c r="P17" s="2">
        <f>IF(TRIM(C18)="", "", C18)</f>
      </c>
    </row>
    <row r="18" spans="1:16" x14ac:dyDescent="0.25">
      <c r="A18" s="1"/>
      <c r="B18" s="11"/>
      <c r="C18" s="17">
        <f>D17 &amp; " " &amp; E17 &amp; " " &amp; F17 &amp; " " &amp; G17</f>
      </c>
      <c r="D18" s="17"/>
      <c r="E18" s="17"/>
      <c r="F18" s="17"/>
      <c r="G18" s="17"/>
      <c r="H18" s="17"/>
      <c r="I18" s="1"/>
      <c r="J18" s="1"/>
      <c r="K18" s="1"/>
      <c r="L18" s="1"/>
      <c r="M18" s="1"/>
      <c r="N18" s="1"/>
      <c r="O18" s="1"/>
      <c r="P18" s="2"/>
    </row>
    <row r="19" spans="1:16" x14ac:dyDescent="0.25">
      <c r="A19" s="1"/>
      <c r="B19" s="10">
        <v>8</v>
      </c>
      <c r="C19" s="11"/>
      <c r="D19" s="12"/>
      <c r="E19" s="13"/>
      <c r="F19" s="14"/>
      <c r="G19" s="15"/>
      <c r="H19" s="16"/>
      <c r="I19" s="1"/>
      <c r="J19" s="1"/>
      <c r="K19" s="1"/>
      <c r="L19" s="1"/>
      <c r="M19" s="1"/>
      <c r="N19" s="1"/>
      <c r="O19" s="1"/>
      <c r="P19" s="2">
        <f>IF(TRIM(C20)="", "", C20)</f>
      </c>
    </row>
    <row r="20" spans="1:16" x14ac:dyDescent="0.25">
      <c r="A20" s="1"/>
      <c r="B20" s="11"/>
      <c r="C20" s="17">
        <f>D19 &amp; " " &amp; E19 &amp; " " &amp; F19 &amp; " " &amp; G19</f>
      </c>
      <c r="D20" s="17"/>
      <c r="E20" s="17"/>
      <c r="F20" s="17"/>
      <c r="G20" s="17"/>
      <c r="H20" s="17"/>
      <c r="I20" s="1"/>
      <c r="J20" s="1"/>
      <c r="K20" s="1"/>
      <c r="L20" s="1"/>
      <c r="M20" s="1"/>
      <c r="N20" s="1"/>
      <c r="O20" s="1"/>
      <c r="P20" s="2"/>
    </row>
  </sheetData>
  <sheetProtection sheet="1" selectLockedCells="1" algorithmName="SHA-512" hashValue="wxigPwyh4nxAdCJOIFS8uLHYupCcQo4OUC3Si39sHivdmPePWFgSU6lWuQDSeVoFI93hj6jd8hh9Y7s73oJONg==" saltValue="Lk6BqIdX3bqS3g78ZeK0ng==" spinCount="100000"/>
  <mergeCells count="9">
    <mergeCell ref="B2:H2"/>
    <mergeCell ref="C6:H6"/>
    <mergeCell ref="C8:H8"/>
    <mergeCell ref="C10:H10"/>
    <mergeCell ref="C12:H12"/>
    <mergeCell ref="C14:H14"/>
    <mergeCell ref="C16:H16"/>
    <mergeCell ref="C18:H18"/>
    <mergeCell ref="C20:H20"/>
  </mergeCells>
  <dataValidations count="8">
    <dataValidation type="list" allowBlank="1" showErrorMessage="1" errorStyle="error" errorTitle="Valor Inválido" error="Por favor seleccione &quot;Especifica&quot; o &quot;General&quot;." sqref="C11">
      <formula1>"Especifica,General"</formula1>
    </dataValidation>
    <dataValidation type="list" allowBlank="1" showErrorMessage="1" errorStyle="error" errorTitle="Valor Inválido" error="Por favor seleccione &quot;Especifica&quot; o &quot;General&quot;." sqref="C13">
      <formula1>"Especifica,General"</formula1>
    </dataValidation>
    <dataValidation type="list" allowBlank="1" showErrorMessage="1" errorStyle="error" errorTitle="Valor Inválido" error="Por favor seleccione &quot;Especifica&quot; o &quot;General&quot;." sqref="C15">
      <formula1>"Especifica,General"</formula1>
    </dataValidation>
    <dataValidation type="list" allowBlank="1" showErrorMessage="1" errorStyle="error" errorTitle="Valor Inválido" error="Por favor seleccione &quot;Especifica&quot; o &quot;General&quot;." sqref="C17">
      <formula1>"Especifica,General"</formula1>
    </dataValidation>
    <dataValidation type="list" allowBlank="1" showErrorMessage="1" errorStyle="error" errorTitle="Valor Inválido" error="Por favor seleccione &quot;Especifica&quot; o &quot;General&quot;." sqref="C19">
      <formula1>"Especifica,General"</formula1>
    </dataValidation>
    <dataValidation type="list" allowBlank="1" showErrorMessage="1" errorStyle="error" errorTitle="Valor Inválido" error="Por favor seleccione &quot;Especifica&quot; o &quot;General&quot;." sqref="C5">
      <formula1>"Especifica,General"</formula1>
    </dataValidation>
    <dataValidation type="list" allowBlank="1" showErrorMessage="1" errorStyle="error" errorTitle="Valor Inválido" error="Por favor seleccione &quot;Especifica&quot; o &quot;General&quot;." sqref="C7">
      <formula1>"Especifica,General"</formula1>
    </dataValidation>
    <dataValidation type="list" allowBlank="1" showErrorMessage="1" errorStyle="error" errorTitle="Valor Inválido" error="Por favor seleccione &quot;Especifica&quot; o &quot;General&quot;." sqref="C9">
      <formula1>"Especifica,General"</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72"/>
  <sheetFormatPr defaultRowHeight="15" outlineLevelRow="0" outlineLevelCol="0" x14ac:dyDescent="55"/>
  <cols>
    <col min="2" max="3" width="25" customWidth="1"/>
    <col min="4" max="4" width="30" customWidth="1"/>
    <col min="5" max="5" width="15" customWidth="1"/>
    <col min="6" max="6" width="10" customWidth="1"/>
    <col min="7" max="7" width="60" customWidth="1"/>
  </cols>
  <sheetData>
    <row r="1" spans="2:7" x14ac:dyDescent="0.25">
      <c r="B1" s="18" t="s">
        <v>8</v>
      </c>
      <c r="C1" s="18"/>
      <c r="D1" s="18"/>
      <c r="E1" s="18"/>
      <c r="F1" s="18"/>
      <c r="G1" s="18"/>
    </row>
    <row r="3" spans="2:7" x14ac:dyDescent="0.25">
      <c r="B3" s="19" t="s">
        <v>9</v>
      </c>
      <c r="C3" s="19" t="s">
        <v>10</v>
      </c>
      <c r="D3" s="19" t="s">
        <v>11</v>
      </c>
      <c r="E3" s="19" t="s">
        <v>12</v>
      </c>
      <c r="F3" s="19" t="s">
        <v>13</v>
      </c>
      <c r="G3" s="19" t="s">
        <v>14</v>
      </c>
    </row>
    <row r="4" spans="2:7" x14ac:dyDescent="0.25">
      <c r="B4" s="20" t="s">
        <v>15</v>
      </c>
      <c r="C4" s="20" t="s">
        <v>16</v>
      </c>
      <c r="D4" s="20" t="s">
        <v>17</v>
      </c>
      <c r="E4" s="20" t="s">
        <v>18</v>
      </c>
      <c r="F4" s="20" t="s">
        <v>18</v>
      </c>
      <c r="G4" s="20"/>
    </row>
    <row r="5" spans="2:7" x14ac:dyDescent="0.25">
      <c r="B5" s="20" t="s">
        <v>15</v>
      </c>
      <c r="C5" s="20" t="s">
        <v>16</v>
      </c>
      <c r="D5" s="20" t="s">
        <v>19</v>
      </c>
      <c r="E5" s="20" t="s">
        <v>18</v>
      </c>
      <c r="F5" s="20" t="s">
        <v>18</v>
      </c>
      <c r="G5" s="20"/>
    </row>
    <row r="6" spans="2:7" x14ac:dyDescent="0.25">
      <c r="B6" s="20" t="s">
        <v>15</v>
      </c>
      <c r="C6" s="20" t="s">
        <v>16</v>
      </c>
      <c r="D6" s="20" t="s">
        <v>20</v>
      </c>
      <c r="E6" s="20" t="s">
        <v>18</v>
      </c>
      <c r="F6" s="20" t="s">
        <v>18</v>
      </c>
      <c r="G6" s="20"/>
    </row>
    <row r="7" spans="2:7" x14ac:dyDescent="0.25">
      <c r="B7" s="20" t="s">
        <v>21</v>
      </c>
      <c r="C7" s="20" t="s">
        <v>22</v>
      </c>
      <c r="D7" s="20" t="s">
        <v>23</v>
      </c>
      <c r="E7" s="20" t="s">
        <v>18</v>
      </c>
      <c r="F7" s="20" t="s">
        <v>18</v>
      </c>
      <c r="G7" s="20"/>
    </row>
    <row r="8" spans="2:7" x14ac:dyDescent="0.25">
      <c r="B8" s="20" t="s">
        <v>21</v>
      </c>
      <c r="C8" s="20" t="s">
        <v>22</v>
      </c>
      <c r="D8" s="20" t="s">
        <v>24</v>
      </c>
      <c r="E8" s="20" t="s">
        <v>18</v>
      </c>
      <c r="F8" s="20" t="s">
        <v>18</v>
      </c>
      <c r="G8" s="20"/>
    </row>
    <row r="9" spans="2:7" x14ac:dyDescent="0.25">
      <c r="B9" s="20" t="s">
        <v>21</v>
      </c>
      <c r="C9" s="20" t="s">
        <v>22</v>
      </c>
      <c r="D9" s="20" t="s">
        <v>25</v>
      </c>
      <c r="E9" s="20" t="s">
        <v>18</v>
      </c>
      <c r="F9" s="20" t="s">
        <v>18</v>
      </c>
      <c r="G9" s="20"/>
    </row>
    <row r="10" spans="2:7" x14ac:dyDescent="0.25">
      <c r="B10" s="20" t="s">
        <v>21</v>
      </c>
      <c r="C10" s="20" t="s">
        <v>22</v>
      </c>
      <c r="D10" s="20" t="s">
        <v>26</v>
      </c>
      <c r="E10" s="20" t="s">
        <v>18</v>
      </c>
      <c r="F10" s="20" t="s">
        <v>18</v>
      </c>
      <c r="G10" s="20"/>
    </row>
    <row r="11" spans="2:7" x14ac:dyDescent="0.25">
      <c r="B11" s="20" t="s">
        <v>27</v>
      </c>
      <c r="C11" s="20" t="s">
        <v>28</v>
      </c>
      <c r="D11" s="20" t="s">
        <v>29</v>
      </c>
      <c r="E11" s="20" t="s">
        <v>18</v>
      </c>
      <c r="F11" s="20" t="s">
        <v>18</v>
      </c>
      <c r="G11" s="20"/>
    </row>
    <row r="12" spans="2:7" x14ac:dyDescent="0.25">
      <c r="B12" s="20" t="s">
        <v>27</v>
      </c>
      <c r="C12" s="20" t="s">
        <v>30</v>
      </c>
      <c r="D12" s="20" t="s">
        <v>31</v>
      </c>
      <c r="E12" s="20" t="s">
        <v>18</v>
      </c>
      <c r="F12" s="20" t="s">
        <v>18</v>
      </c>
      <c r="G12" s="20"/>
    </row>
    <row r="13" spans="2:7" x14ac:dyDescent="0.25">
      <c r="B13" s="20" t="s">
        <v>27</v>
      </c>
      <c r="C13" s="20" t="s">
        <v>30</v>
      </c>
      <c r="D13" s="20" t="s">
        <v>32</v>
      </c>
      <c r="E13" s="20" t="s">
        <v>18</v>
      </c>
      <c r="F13" s="20" t="s">
        <v>18</v>
      </c>
      <c r="G13" s="20"/>
    </row>
    <row r="14" spans="2:7" x14ac:dyDescent="0.25">
      <c r="B14" s="20" t="s">
        <v>27</v>
      </c>
      <c r="C14" s="20" t="s">
        <v>33</v>
      </c>
      <c r="D14" s="20" t="s">
        <v>34</v>
      </c>
      <c r="E14" s="20" t="s">
        <v>18</v>
      </c>
      <c r="F14" s="20" t="s">
        <v>18</v>
      </c>
      <c r="G14" s="20"/>
    </row>
    <row r="15" spans="2:7" x14ac:dyDescent="0.25">
      <c r="B15" s="20" t="s">
        <v>27</v>
      </c>
      <c r="C15" s="20" t="s">
        <v>33</v>
      </c>
      <c r="D15" s="20" t="s">
        <v>35</v>
      </c>
      <c r="E15" s="20" t="s">
        <v>18</v>
      </c>
      <c r="F15" s="20" t="s">
        <v>18</v>
      </c>
      <c r="G15" s="20"/>
    </row>
    <row r="16" spans="2:7" x14ac:dyDescent="0.25">
      <c r="B16" s="20" t="s">
        <v>27</v>
      </c>
      <c r="C16" s="20" t="s">
        <v>36</v>
      </c>
      <c r="D16" s="20" t="s">
        <v>37</v>
      </c>
      <c r="E16" s="20" t="s">
        <v>18</v>
      </c>
      <c r="F16" s="20" t="s">
        <v>18</v>
      </c>
      <c r="G16" s="20"/>
    </row>
    <row r="17" spans="2:7" x14ac:dyDescent="0.25">
      <c r="B17" s="20" t="s">
        <v>27</v>
      </c>
      <c r="C17" s="20" t="s">
        <v>36</v>
      </c>
      <c r="D17" s="20" t="s">
        <v>38</v>
      </c>
      <c r="E17" s="20" t="s">
        <v>18</v>
      </c>
      <c r="F17" s="20" t="s">
        <v>18</v>
      </c>
      <c r="G17" s="20"/>
    </row>
    <row r="18" spans="2:7" x14ac:dyDescent="0.25">
      <c r="B18" s="20" t="s">
        <v>27</v>
      </c>
      <c r="C18" s="20" t="s">
        <v>39</v>
      </c>
      <c r="D18" s="20" t="s">
        <v>40</v>
      </c>
      <c r="E18" s="20" t="s">
        <v>18</v>
      </c>
      <c r="F18" s="20" t="s">
        <v>18</v>
      </c>
      <c r="G18" s="20"/>
    </row>
    <row r="19" spans="2:7" x14ac:dyDescent="0.25">
      <c r="B19" s="20" t="s">
        <v>27</v>
      </c>
      <c r="C19" s="20" t="s">
        <v>39</v>
      </c>
      <c r="D19" s="20" t="s">
        <v>41</v>
      </c>
      <c r="E19" s="20" t="s">
        <v>18</v>
      </c>
      <c r="F19" s="20" t="s">
        <v>18</v>
      </c>
      <c r="G19" s="20"/>
    </row>
    <row r="20" spans="2:7" x14ac:dyDescent="0.25">
      <c r="B20" s="20" t="s">
        <v>27</v>
      </c>
      <c r="C20" s="20" t="s">
        <v>42</v>
      </c>
      <c r="D20" s="20" t="s">
        <v>43</v>
      </c>
      <c r="E20" s="20" t="s">
        <v>18</v>
      </c>
      <c r="F20" s="20" t="s">
        <v>18</v>
      </c>
      <c r="G20" s="20"/>
    </row>
    <row r="21" spans="2:7" x14ac:dyDescent="0.25">
      <c r="B21" s="20" t="s">
        <v>27</v>
      </c>
      <c r="C21" s="20" t="s">
        <v>42</v>
      </c>
      <c r="D21" s="20" t="s">
        <v>44</v>
      </c>
      <c r="E21" s="20" t="s">
        <v>18</v>
      </c>
      <c r="F21" s="20" t="s">
        <v>18</v>
      </c>
      <c r="G21" s="20"/>
    </row>
    <row r="22" spans="2:7" x14ac:dyDescent="0.25">
      <c r="B22" s="20" t="s">
        <v>27</v>
      </c>
      <c r="C22" s="20" t="s">
        <v>45</v>
      </c>
      <c r="D22" s="20" t="s">
        <v>46</v>
      </c>
      <c r="E22" s="20" t="s">
        <v>18</v>
      </c>
      <c r="F22" s="20" t="s">
        <v>18</v>
      </c>
      <c r="G22" s="20"/>
    </row>
    <row r="23" spans="2:7" x14ac:dyDescent="0.25">
      <c r="B23" s="20" t="s">
        <v>27</v>
      </c>
      <c r="C23" s="20" t="s">
        <v>45</v>
      </c>
      <c r="D23" s="20" t="s">
        <v>47</v>
      </c>
      <c r="E23" s="20" t="s">
        <v>18</v>
      </c>
      <c r="F23" s="20" t="s">
        <v>18</v>
      </c>
      <c r="G23" s="20"/>
    </row>
    <row r="24" spans="2:7" x14ac:dyDescent="0.25">
      <c r="B24" s="20" t="s">
        <v>27</v>
      </c>
      <c r="C24" s="20" t="s">
        <v>48</v>
      </c>
      <c r="D24" s="20" t="s">
        <v>49</v>
      </c>
      <c r="E24" s="20" t="s">
        <v>18</v>
      </c>
      <c r="F24" s="20" t="s">
        <v>18</v>
      </c>
      <c r="G24" s="20"/>
    </row>
    <row r="25" spans="2:7" x14ac:dyDescent="0.25">
      <c r="B25" s="20" t="s">
        <v>50</v>
      </c>
      <c r="C25" s="20" t="s">
        <v>51</v>
      </c>
      <c r="D25" s="20" t="s">
        <v>52</v>
      </c>
      <c r="E25" s="20" t="s">
        <v>18</v>
      </c>
      <c r="F25" s="20" t="s">
        <v>18</v>
      </c>
      <c r="G25" s="20"/>
    </row>
    <row r="26" spans="2:7" x14ac:dyDescent="0.25">
      <c r="B26" s="20" t="s">
        <v>50</v>
      </c>
      <c r="C26" s="20" t="s">
        <v>51</v>
      </c>
      <c r="D26" s="20" t="s">
        <v>53</v>
      </c>
      <c r="E26" s="20" t="s">
        <v>18</v>
      </c>
      <c r="F26" s="20" t="s">
        <v>18</v>
      </c>
      <c r="G26" s="20"/>
    </row>
    <row r="27" spans="2:7" x14ac:dyDescent="0.25">
      <c r="B27" s="20" t="s">
        <v>50</v>
      </c>
      <c r="C27" s="20" t="s">
        <v>51</v>
      </c>
      <c r="D27" s="20" t="s">
        <v>54</v>
      </c>
      <c r="E27" s="20" t="s">
        <v>18</v>
      </c>
      <c r="F27" s="20" t="s">
        <v>18</v>
      </c>
      <c r="G27" s="20"/>
    </row>
    <row r="28" spans="2:7" x14ac:dyDescent="0.25">
      <c r="B28" s="20" t="s">
        <v>55</v>
      </c>
      <c r="C28" s="20" t="s">
        <v>56</v>
      </c>
      <c r="D28" s="20" t="s">
        <v>57</v>
      </c>
      <c r="E28" s="20" t="s">
        <v>18</v>
      </c>
      <c r="F28" s="20" t="s">
        <v>18</v>
      </c>
      <c r="G28" s="20"/>
    </row>
    <row r="29" spans="2:7" x14ac:dyDescent="0.25">
      <c r="B29" s="20" t="s">
        <v>55</v>
      </c>
      <c r="C29" s="20" t="s">
        <v>56</v>
      </c>
      <c r="D29" s="20" t="s">
        <v>58</v>
      </c>
      <c r="E29" s="20" t="s">
        <v>18</v>
      </c>
      <c r="F29" s="20" t="s">
        <v>18</v>
      </c>
      <c r="G29" s="20"/>
    </row>
    <row r="30" spans="2:7" x14ac:dyDescent="0.25">
      <c r="B30" s="20" t="s">
        <v>55</v>
      </c>
      <c r="C30" s="20" t="s">
        <v>56</v>
      </c>
      <c r="D30" s="20" t="s">
        <v>59</v>
      </c>
      <c r="E30" s="20" t="s">
        <v>18</v>
      </c>
      <c r="F30" s="20" t="s">
        <v>18</v>
      </c>
      <c r="G30" s="20"/>
    </row>
    <row r="31" spans="2:7" x14ac:dyDescent="0.25">
      <c r="B31" s="20" t="s">
        <v>60</v>
      </c>
      <c r="C31" s="20" t="s">
        <v>61</v>
      </c>
      <c r="D31" s="20" t="s">
        <v>62</v>
      </c>
      <c r="E31" s="20" t="s">
        <v>18</v>
      </c>
      <c r="F31" s="20" t="s">
        <v>18</v>
      </c>
      <c r="G31" s="20"/>
    </row>
    <row r="32" spans="2:7" x14ac:dyDescent="0.25">
      <c r="B32" s="20" t="s">
        <v>60</v>
      </c>
      <c r="C32" s="20" t="s">
        <v>61</v>
      </c>
      <c r="D32" s="20" t="s">
        <v>63</v>
      </c>
      <c r="E32" s="20" t="s">
        <v>18</v>
      </c>
      <c r="F32" s="20" t="s">
        <v>18</v>
      </c>
      <c r="G32" s="20"/>
    </row>
    <row r="33" spans="2:7" x14ac:dyDescent="0.25">
      <c r="B33" s="20" t="s">
        <v>60</v>
      </c>
      <c r="C33" s="20" t="s">
        <v>61</v>
      </c>
      <c r="D33" s="20" t="s">
        <v>64</v>
      </c>
      <c r="E33" s="20" t="s">
        <v>18</v>
      </c>
      <c r="F33" s="20" t="s">
        <v>18</v>
      </c>
      <c r="G33" s="20"/>
    </row>
    <row r="34" spans="2:7" x14ac:dyDescent="0.25">
      <c r="B34" s="20" t="s">
        <v>60</v>
      </c>
      <c r="C34" s="20" t="s">
        <v>61</v>
      </c>
      <c r="D34" s="20" t="s">
        <v>65</v>
      </c>
      <c r="E34" s="20" t="s">
        <v>18</v>
      </c>
      <c r="F34" s="20" t="s">
        <v>18</v>
      </c>
      <c r="G34" s="20"/>
    </row>
    <row r="35" spans="2:7" x14ac:dyDescent="0.25">
      <c r="B35" s="20" t="s">
        <v>60</v>
      </c>
      <c r="C35" s="20" t="s">
        <v>61</v>
      </c>
      <c r="D35" s="20" t="s">
        <v>66</v>
      </c>
      <c r="E35" s="20" t="s">
        <v>18</v>
      </c>
      <c r="F35" s="20" t="s">
        <v>18</v>
      </c>
      <c r="G35" s="20"/>
    </row>
    <row r="36" spans="2:7" x14ac:dyDescent="0.25">
      <c r="B36" s="20" t="s">
        <v>60</v>
      </c>
      <c r="C36" s="20" t="s">
        <v>61</v>
      </c>
      <c r="D36" s="20" t="s">
        <v>67</v>
      </c>
      <c r="E36" s="20" t="s">
        <v>18</v>
      </c>
      <c r="F36" s="20" t="s">
        <v>18</v>
      </c>
      <c r="G36" s="20"/>
    </row>
    <row r="37" spans="2:7" x14ac:dyDescent="0.25">
      <c r="B37" s="20" t="s">
        <v>60</v>
      </c>
      <c r="C37" s="20" t="s">
        <v>61</v>
      </c>
      <c r="D37" s="20" t="s">
        <v>68</v>
      </c>
      <c r="E37" s="20" t="s">
        <v>18</v>
      </c>
      <c r="F37" s="20" t="s">
        <v>18</v>
      </c>
      <c r="G37" s="20"/>
    </row>
    <row r="38" spans="2:7" x14ac:dyDescent="0.25">
      <c r="B38" s="20" t="s">
        <v>60</v>
      </c>
      <c r="C38" s="20" t="s">
        <v>61</v>
      </c>
      <c r="D38" s="20" t="s">
        <v>69</v>
      </c>
      <c r="E38" s="20" t="s">
        <v>18</v>
      </c>
      <c r="F38" s="20" t="s">
        <v>18</v>
      </c>
      <c r="G38" s="20"/>
    </row>
    <row r="39" spans="2:7" x14ac:dyDescent="0.25">
      <c r="B39" s="20" t="s">
        <v>70</v>
      </c>
      <c r="C39" s="20" t="s">
        <v>71</v>
      </c>
      <c r="D39" s="20" t="s">
        <v>72</v>
      </c>
      <c r="E39" s="20" t="s">
        <v>18</v>
      </c>
      <c r="F39" s="20" t="s">
        <v>18</v>
      </c>
      <c r="G39" s="20"/>
    </row>
    <row r="40" spans="2:7" x14ac:dyDescent="0.25">
      <c r="B40" s="20" t="s">
        <v>73</v>
      </c>
      <c r="C40" s="20" t="s">
        <v>74</v>
      </c>
      <c r="D40" s="20" t="s">
        <v>75</v>
      </c>
      <c r="E40" s="20" t="s">
        <v>18</v>
      </c>
      <c r="F40" s="20" t="s">
        <v>18</v>
      </c>
      <c r="G40" s="20"/>
    </row>
    <row r="41" spans="2:7" x14ac:dyDescent="0.25">
      <c r="B41" s="20" t="s">
        <v>73</v>
      </c>
      <c r="C41" s="20" t="s">
        <v>74</v>
      </c>
      <c r="D41" s="20" t="s">
        <v>76</v>
      </c>
      <c r="E41" s="20" t="s">
        <v>18</v>
      </c>
      <c r="F41" s="20" t="s">
        <v>18</v>
      </c>
      <c r="G41" s="20"/>
    </row>
    <row r="42" spans="2:7" x14ac:dyDescent="0.25">
      <c r="B42" s="20" t="s">
        <v>73</v>
      </c>
      <c r="C42" s="20" t="s">
        <v>74</v>
      </c>
      <c r="D42" s="20" t="s">
        <v>77</v>
      </c>
      <c r="E42" s="20" t="s">
        <v>18</v>
      </c>
      <c r="F42" s="20" t="s">
        <v>18</v>
      </c>
      <c r="G42" s="20"/>
    </row>
    <row r="43" spans="2:7" x14ac:dyDescent="0.25">
      <c r="B43" s="20" t="s">
        <v>73</v>
      </c>
      <c r="C43" s="20" t="s">
        <v>74</v>
      </c>
      <c r="D43" s="20" t="s">
        <v>78</v>
      </c>
      <c r="E43" s="20" t="s">
        <v>18</v>
      </c>
      <c r="F43" s="20" t="s">
        <v>18</v>
      </c>
      <c r="G43" s="20"/>
    </row>
    <row r="44" spans="2:7" x14ac:dyDescent="0.25">
      <c r="B44" s="20" t="s">
        <v>79</v>
      </c>
      <c r="C44" s="20" t="s">
        <v>80</v>
      </c>
      <c r="D44" s="20" t="s">
        <v>81</v>
      </c>
      <c r="E44" s="20" t="s">
        <v>18</v>
      </c>
      <c r="F44" s="20" t="s">
        <v>18</v>
      </c>
      <c r="G44" s="20"/>
    </row>
    <row r="45" spans="2:7" x14ac:dyDescent="0.25">
      <c r="B45" s="20" t="s">
        <v>79</v>
      </c>
      <c r="C45" s="20" t="s">
        <v>80</v>
      </c>
      <c r="D45" s="20" t="s">
        <v>82</v>
      </c>
      <c r="E45" s="20" t="s">
        <v>18</v>
      </c>
      <c r="F45" s="20" t="s">
        <v>18</v>
      </c>
      <c r="G45" s="20"/>
    </row>
    <row r="46" spans="2:7" x14ac:dyDescent="0.25">
      <c r="B46" s="20" t="s">
        <v>79</v>
      </c>
      <c r="C46" s="20" t="s">
        <v>80</v>
      </c>
      <c r="D46" s="20" t="s">
        <v>83</v>
      </c>
      <c r="E46" s="20" t="s">
        <v>18</v>
      </c>
      <c r="F46" s="20" t="s">
        <v>18</v>
      </c>
      <c r="G46" s="20"/>
    </row>
    <row r="47" spans="2:7" x14ac:dyDescent="0.25">
      <c r="B47" s="20" t="s">
        <v>79</v>
      </c>
      <c r="C47" s="20" t="s">
        <v>80</v>
      </c>
      <c r="D47" s="20" t="s">
        <v>84</v>
      </c>
      <c r="E47" s="20" t="s">
        <v>18</v>
      </c>
      <c r="F47" s="20" t="s">
        <v>18</v>
      </c>
      <c r="G47" s="20"/>
    </row>
    <row r="48" spans="2:7" x14ac:dyDescent="0.25">
      <c r="B48" s="20" t="s">
        <v>85</v>
      </c>
      <c r="C48" s="20" t="s">
        <v>86</v>
      </c>
      <c r="D48" s="20" t="s">
        <v>87</v>
      </c>
      <c r="E48" s="20" t="s">
        <v>18</v>
      </c>
      <c r="F48" s="20" t="s">
        <v>18</v>
      </c>
      <c r="G48" s="20"/>
    </row>
    <row r="49" spans="2:7" x14ac:dyDescent="0.25">
      <c r="B49" s="20" t="s">
        <v>85</v>
      </c>
      <c r="C49" s="20" t="s">
        <v>86</v>
      </c>
      <c r="D49" s="20" t="s">
        <v>88</v>
      </c>
      <c r="E49" s="20" t="s">
        <v>18</v>
      </c>
      <c r="F49" s="20" t="s">
        <v>18</v>
      </c>
      <c r="G49" s="20"/>
    </row>
    <row r="50" spans="2:7" x14ac:dyDescent="0.25">
      <c r="B50" s="20" t="s">
        <v>85</v>
      </c>
      <c r="C50" s="20" t="s">
        <v>86</v>
      </c>
      <c r="D50" s="20" t="s">
        <v>89</v>
      </c>
      <c r="E50" s="20" t="s">
        <v>18</v>
      </c>
      <c r="F50" s="20" t="s">
        <v>18</v>
      </c>
      <c r="G50" s="20"/>
    </row>
    <row r="51" spans="2:7" x14ac:dyDescent="0.25">
      <c r="B51" s="20" t="s">
        <v>85</v>
      </c>
      <c r="C51" s="20" t="s">
        <v>86</v>
      </c>
      <c r="D51" s="20" t="s">
        <v>90</v>
      </c>
      <c r="E51" s="20" t="s">
        <v>18</v>
      </c>
      <c r="F51" s="20" t="s">
        <v>18</v>
      </c>
      <c r="G51" s="20"/>
    </row>
    <row r="52" spans="2:7" x14ac:dyDescent="0.25">
      <c r="B52" s="20" t="s">
        <v>91</v>
      </c>
      <c r="C52" s="20" t="s">
        <v>92</v>
      </c>
      <c r="D52" s="20" t="s">
        <v>93</v>
      </c>
      <c r="E52" s="20" t="s">
        <v>18</v>
      </c>
      <c r="F52" s="20" t="s">
        <v>18</v>
      </c>
      <c r="G52" s="20"/>
    </row>
    <row r="53" spans="2:7" x14ac:dyDescent="0.25">
      <c r="B53" s="20" t="s">
        <v>91</v>
      </c>
      <c r="C53" s="20" t="s">
        <v>92</v>
      </c>
      <c r="D53" s="20" t="s">
        <v>94</v>
      </c>
      <c r="E53" s="20" t="s">
        <v>18</v>
      </c>
      <c r="F53" s="20" t="s">
        <v>18</v>
      </c>
      <c r="G53" s="20"/>
    </row>
    <row r="54" spans="2:7" x14ac:dyDescent="0.25">
      <c r="B54" s="20" t="s">
        <v>91</v>
      </c>
      <c r="C54" s="20" t="s">
        <v>92</v>
      </c>
      <c r="D54" s="20" t="s">
        <v>95</v>
      </c>
      <c r="E54" s="20" t="s">
        <v>18</v>
      </c>
      <c r="F54" s="20" t="s">
        <v>18</v>
      </c>
      <c r="G54" s="20"/>
    </row>
    <row r="55" spans="2:7" x14ac:dyDescent="0.25">
      <c r="B55" s="20" t="s">
        <v>91</v>
      </c>
      <c r="C55" s="20" t="s">
        <v>92</v>
      </c>
      <c r="D55" s="20" t="s">
        <v>96</v>
      </c>
      <c r="E55" s="20" t="s">
        <v>18</v>
      </c>
      <c r="F55" s="20" t="s">
        <v>18</v>
      </c>
      <c r="G55" s="20"/>
    </row>
    <row r="56" spans="2:7" x14ac:dyDescent="0.25">
      <c r="B56" s="20" t="s">
        <v>91</v>
      </c>
      <c r="C56" s="20" t="s">
        <v>92</v>
      </c>
      <c r="D56" s="20" t="s">
        <v>97</v>
      </c>
      <c r="E56" s="20" t="s">
        <v>18</v>
      </c>
      <c r="F56" s="20" t="s">
        <v>18</v>
      </c>
      <c r="G56" s="20"/>
    </row>
    <row r="57" spans="2:7" x14ac:dyDescent="0.25">
      <c r="B57" s="20" t="s">
        <v>91</v>
      </c>
      <c r="C57" s="20" t="s">
        <v>92</v>
      </c>
      <c r="D57" s="20" t="s">
        <v>98</v>
      </c>
      <c r="E57" s="20" t="s">
        <v>18</v>
      </c>
      <c r="F57" s="20" t="s">
        <v>18</v>
      </c>
      <c r="G57" s="20"/>
    </row>
    <row r="58" spans="2:7" x14ac:dyDescent="0.25">
      <c r="B58" s="20" t="s">
        <v>91</v>
      </c>
      <c r="C58" s="20" t="s">
        <v>92</v>
      </c>
      <c r="D58" s="20" t="s">
        <v>99</v>
      </c>
      <c r="E58" s="20" t="s">
        <v>18</v>
      </c>
      <c r="F58" s="20" t="s">
        <v>18</v>
      </c>
      <c r="G58" s="20"/>
    </row>
    <row r="59" spans="2:7" x14ac:dyDescent="0.25">
      <c r="B59" s="20" t="s">
        <v>100</v>
      </c>
      <c r="C59" s="20" t="s">
        <v>101</v>
      </c>
      <c r="D59" s="20" t="s">
        <v>102</v>
      </c>
      <c r="E59" s="20" t="s">
        <v>18</v>
      </c>
      <c r="F59" s="20" t="s">
        <v>18</v>
      </c>
      <c r="G59" s="20"/>
    </row>
    <row r="60" spans="2:7" x14ac:dyDescent="0.25">
      <c r="B60" s="20" t="s">
        <v>100</v>
      </c>
      <c r="C60" s="20" t="s">
        <v>101</v>
      </c>
      <c r="D60" s="20" t="s">
        <v>103</v>
      </c>
      <c r="E60" s="20" t="s">
        <v>18</v>
      </c>
      <c r="F60" s="20" t="s">
        <v>18</v>
      </c>
      <c r="G60" s="20"/>
    </row>
    <row r="61" spans="2:7" x14ac:dyDescent="0.25">
      <c r="B61" s="20" t="s">
        <v>100</v>
      </c>
      <c r="C61" s="20" t="s">
        <v>101</v>
      </c>
      <c r="D61" s="20" t="s">
        <v>104</v>
      </c>
      <c r="E61" s="20" t="s">
        <v>18</v>
      </c>
      <c r="F61" s="20" t="s">
        <v>18</v>
      </c>
      <c r="G61" s="20"/>
    </row>
    <row r="62" spans="2:7" x14ac:dyDescent="0.25">
      <c r="B62" s="20" t="s">
        <v>100</v>
      </c>
      <c r="C62" s="20" t="s">
        <v>101</v>
      </c>
      <c r="D62" s="20" t="s">
        <v>105</v>
      </c>
      <c r="E62" s="20" t="s">
        <v>18</v>
      </c>
      <c r="F62" s="20" t="s">
        <v>18</v>
      </c>
      <c r="G62" s="20"/>
    </row>
    <row r="63" spans="2:7" x14ac:dyDescent="0.25">
      <c r="B63" s="20" t="s">
        <v>100</v>
      </c>
      <c r="C63" s="20" t="s">
        <v>101</v>
      </c>
      <c r="D63" s="20" t="s">
        <v>106</v>
      </c>
      <c r="E63" s="20" t="s">
        <v>18</v>
      </c>
      <c r="F63" s="20" t="s">
        <v>18</v>
      </c>
      <c r="G63" s="20"/>
    </row>
    <row r="64" spans="2:7" x14ac:dyDescent="0.25">
      <c r="B64" s="20" t="s">
        <v>100</v>
      </c>
      <c r="C64" s="20" t="s">
        <v>101</v>
      </c>
      <c r="D64" s="20" t="s">
        <v>107</v>
      </c>
      <c r="E64" s="20" t="s">
        <v>18</v>
      </c>
      <c r="F64" s="20" t="s">
        <v>18</v>
      </c>
      <c r="G64" s="20"/>
    </row>
    <row r="65" spans="2:7" x14ac:dyDescent="0.25">
      <c r="B65" s="20" t="s">
        <v>100</v>
      </c>
      <c r="C65" s="20" t="s">
        <v>101</v>
      </c>
      <c r="D65" s="20" t="s">
        <v>108</v>
      </c>
      <c r="E65" s="20" t="s">
        <v>18</v>
      </c>
      <c r="F65" s="20" t="s">
        <v>18</v>
      </c>
      <c r="G65" s="20"/>
    </row>
    <row r="66" spans="2:7" x14ac:dyDescent="0.25">
      <c r="B66" s="20" t="s">
        <v>109</v>
      </c>
      <c r="C66" s="20" t="s">
        <v>110</v>
      </c>
      <c r="D66" s="20" t="s">
        <v>111</v>
      </c>
      <c r="E66" s="20" t="s">
        <v>18</v>
      </c>
      <c r="F66" s="20" t="s">
        <v>18</v>
      </c>
      <c r="G66" s="20"/>
    </row>
    <row r="67" spans="2:7" x14ac:dyDescent="0.25">
      <c r="B67" s="20" t="s">
        <v>109</v>
      </c>
      <c r="C67" s="20" t="s">
        <v>110</v>
      </c>
      <c r="D67" s="20" t="s">
        <v>112</v>
      </c>
      <c r="E67" s="20" t="s">
        <v>18</v>
      </c>
      <c r="F67" s="20" t="s">
        <v>18</v>
      </c>
      <c r="G67" s="20"/>
    </row>
    <row r="68" spans="2:7" x14ac:dyDescent="0.25">
      <c r="B68" s="20" t="s">
        <v>109</v>
      </c>
      <c r="C68" s="20" t="s">
        <v>110</v>
      </c>
      <c r="D68" s="20" t="s">
        <v>113</v>
      </c>
      <c r="E68" s="20" t="s">
        <v>18</v>
      </c>
      <c r="F68" s="20" t="s">
        <v>18</v>
      </c>
      <c r="G68" s="20"/>
    </row>
    <row r="69" spans="2:7" x14ac:dyDescent="0.25">
      <c r="B69" s="20" t="s">
        <v>109</v>
      </c>
      <c r="C69" s="20" t="s">
        <v>110</v>
      </c>
      <c r="D69" s="20" t="s">
        <v>114</v>
      </c>
      <c r="E69" s="20" t="s">
        <v>18</v>
      </c>
      <c r="F69" s="20" t="s">
        <v>18</v>
      </c>
      <c r="G69" s="20"/>
    </row>
    <row r="70" spans="2:7" x14ac:dyDescent="0.25">
      <c r="B70" s="20" t="s">
        <v>109</v>
      </c>
      <c r="C70" s="20" t="s">
        <v>110</v>
      </c>
      <c r="D70" s="20" t="s">
        <v>115</v>
      </c>
      <c r="E70" s="20" t="s">
        <v>18</v>
      </c>
      <c r="F70" s="20" t="s">
        <v>18</v>
      </c>
      <c r="G70" s="20"/>
    </row>
    <row r="71" spans="2:7" x14ac:dyDescent="0.25">
      <c r="B71" s="20" t="s">
        <v>109</v>
      </c>
      <c r="C71" s="20" t="s">
        <v>110</v>
      </c>
      <c r="D71" s="20" t="s">
        <v>116</v>
      </c>
      <c r="E71" s="20" t="s">
        <v>18</v>
      </c>
      <c r="F71" s="20" t="s">
        <v>18</v>
      </c>
      <c r="G71" s="20"/>
    </row>
    <row r="72" spans="2:7" x14ac:dyDescent="0.25">
      <c r="B72" s="20" t="s">
        <v>109</v>
      </c>
      <c r="C72" s="20" t="s">
        <v>110</v>
      </c>
      <c r="D72" s="20" t="s">
        <v>117</v>
      </c>
      <c r="E72" s="20" t="s">
        <v>18</v>
      </c>
      <c r="F72" s="20" t="s">
        <v>18</v>
      </c>
      <c r="G72" s="20"/>
    </row>
  </sheetData>
  <mergeCells count="1">
    <mergeCell ref="B1:G1"/>
  </mergeCells>
  <dataValidations count="6">
    <dataValidation type="list" allowBlank="1" showErrorMessage="1" errorTitle="Valor Inválido" error="Seleccione un mes válido." sqref="E10:E72">
      <formula1>"Enero,Febrero,Marzo,Abril,Mayo,Junio,Julio,Agosto,Septiembre,Octubre,Noviembre,Diciembre"</formula1>
    </dataValidation>
    <dataValidation type="list" allowBlank="1" showErrorMessage="1" errorTitle="Valor Inválido" error="Seleccione un mes válido." sqref="E4:E72">
      <formula1>"Enero,Febrero,Marzo,Abril,Mayo,Junio,Julio,Agosto,Septiembre,Octubre,Noviembre,Diciembre"</formula1>
    </dataValidation>
    <dataValidation type="list" allowBlank="1" showErrorMessage="1" errorTitle="Valor Inválido" error="Seleccione una semana del 2 al 11." sqref="F10:F72">
      <formula1>"2,3,4,5,6,7,8,9,10,11"</formula1>
    </dataValidation>
    <dataValidation type="list" allowBlank="1" showErrorMessage="1" errorTitle="Valor Inválido" error="Seleccione una semana del 2 al 11." sqref="F4:F72">
      <formula1>"2,3,4,5,6,7,8,9,10,11"</formula1>
    </dataValidation>
    <dataValidation type="list" allowBlank="1" showErrorMessage="1" errorTitle="Valor Inválido" error="Seleccione una competencia válida de la hoja anterior." sqref="G10:G72">
      <formula1>'Competencias_2S_2026'!$P$5:$P$19</formula1>
    </dataValidation>
    <dataValidation type="list" allowBlank="1" showErrorMessage="1" errorTitle="Valor Inválido" error="Seleccione una competencia válida de la hoja anterior." sqref="G4:G72">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40"/>
  <sheetFormatPr defaultRowHeight="15" outlineLevelRow="0" outlineLevelCol="0" x14ac:dyDescent="55"/>
  <cols>
    <col min="1" max="1" width="25" customWidth="1"/>
    <col min="2" max="4" width="15" customWidth="1"/>
    <col min="5" max="5" width="22" customWidth="1"/>
    <col min="6" max="6" width="10" customWidth="1"/>
    <col min="7" max="8" width="20" customWidth="1"/>
  </cols>
  <sheetData>
    <row r="2" spans="2:2" x14ac:dyDescent="0.25">
      <c r="B2" s="21" t="s">
        <v>118</v>
      </c>
    </row>
    <row r="4" spans="1:4" x14ac:dyDescent="0.25">
      <c r="A4" s="22" t="s">
        <v>119</v>
      </c>
      <c r="B4" s="22" t="s">
        <v>120</v>
      </c>
      <c r="C4" s="22"/>
      <c r="D4" s="22"/>
    </row>
    <row r="5" spans="1:4" x14ac:dyDescent="0.25">
      <c r="A5" s="22" t="s">
        <v>13</v>
      </c>
      <c r="B5" s="22">
        <v>1</v>
      </c>
      <c r="C5" s="22"/>
      <c r="D5" s="22"/>
    </row>
    <row r="6" spans="1:4" x14ac:dyDescent="0.25">
      <c r="A6" s="22" t="s">
        <v>121</v>
      </c>
      <c r="B6" s="22">
        <v>0</v>
      </c>
      <c r="C6" s="22"/>
      <c r="D6" s="22"/>
    </row>
    <row r="8" spans="1:6" x14ac:dyDescent="0.25">
      <c r="A8" s="23" t="s">
        <v>122</v>
      </c>
      <c r="B8" s="23"/>
      <c r="C8" s="23"/>
      <c r="D8" s="23"/>
      <c r="E8" s="24" t="s">
        <v>123</v>
      </c>
      <c r="F8" s="25">
        <v>0</v>
      </c>
    </row>
    <row r="9" spans="5:6" x14ac:dyDescent="0.25">
      <c r="E9" s="26" t="s">
        <v>124</v>
      </c>
      <c r="F9" s="26"/>
    </row>
    <row r="10" ht="25" customHeight="1" spans="1:8" x14ac:dyDescent="0.25">
      <c r="A10" s="27" t="s">
        <v>125</v>
      </c>
      <c r="B10" s="28"/>
      <c r="C10" s="28"/>
      <c r="D10" s="28"/>
      <c r="E10" s="28"/>
      <c r="F10" s="29" t="s">
        <v>126</v>
      </c>
      <c r="G10" s="30" t="s">
        <v>127</v>
      </c>
      <c r="H10" s="30"/>
    </row>
    <row r="11" ht="25" customHeight="1" spans="1:8" x14ac:dyDescent="0.25">
      <c r="A11" s="27" t="s">
        <v>128</v>
      </c>
      <c r="B11" s="28"/>
      <c r="C11" s="28"/>
      <c r="D11" s="28"/>
      <c r="E11" s="28"/>
      <c r="F11" s="29"/>
      <c r="G11" s="30"/>
      <c r="H11" s="30"/>
    </row>
    <row r="12" ht="25" customHeight="1" spans="1:8" x14ac:dyDescent="0.25">
      <c r="A12" s="27" t="s">
        <v>129</v>
      </c>
      <c r="B12" s="28"/>
      <c r="C12" s="28"/>
      <c r="D12" s="28"/>
      <c r="E12" s="28"/>
      <c r="F12" s="29"/>
      <c r="G12" s="30"/>
      <c r="H12" s="30"/>
    </row>
    <row r="13" ht="25" customHeight="1" spans="1:8" x14ac:dyDescent="0.25">
      <c r="A13" s="27" t="s">
        <v>130</v>
      </c>
      <c r="B13" s="28"/>
      <c r="C13" s="28"/>
      <c r="D13" s="28"/>
      <c r="E13" s="28"/>
      <c r="F13" s="29"/>
      <c r="G13" s="30"/>
      <c r="H13" s="30"/>
    </row>
    <row r="15" spans="1:6" x14ac:dyDescent="0.25">
      <c r="A15" s="23" t="s">
        <v>131</v>
      </c>
      <c r="B15" s="23"/>
      <c r="C15" s="23"/>
      <c r="D15" s="23"/>
      <c r="E15" s="24" t="s">
        <v>123</v>
      </c>
      <c r="F15" s="25">
        <v>0</v>
      </c>
    </row>
    <row r="16" spans="5:6" x14ac:dyDescent="0.25">
      <c r="E16" s="26" t="s">
        <v>132</v>
      </c>
      <c r="F16" s="26"/>
    </row>
    <row r="17" ht="40" customHeight="1" spans="1:8" x14ac:dyDescent="0.25">
      <c r="A17" s="27" t="s">
        <v>133</v>
      </c>
      <c r="B17" s="28"/>
      <c r="C17" s="28"/>
      <c r="D17" s="28"/>
      <c r="E17" s="28"/>
      <c r="F17" s="29" t="s">
        <v>126</v>
      </c>
      <c r="G17" s="30" t="s">
        <v>134</v>
      </c>
      <c r="H17" s="30"/>
    </row>
    <row r="18" ht="40" customHeight="1" spans="1:8" x14ac:dyDescent="0.25">
      <c r="A18" s="27" t="s">
        <v>135</v>
      </c>
      <c r="B18" s="28"/>
      <c r="C18" s="28"/>
      <c r="D18" s="28"/>
      <c r="E18" s="28"/>
      <c r="F18" s="29"/>
      <c r="G18" s="30"/>
      <c r="H18" s="30"/>
    </row>
    <row r="19" ht="25" customHeight="1" spans="1:8" x14ac:dyDescent="0.25">
      <c r="A19" s="27" t="s">
        <v>130</v>
      </c>
      <c r="B19" s="28"/>
      <c r="C19" s="28"/>
      <c r="D19" s="28"/>
      <c r="E19" s="28"/>
      <c r="F19" s="29"/>
      <c r="G19" s="30"/>
      <c r="H19" s="30"/>
    </row>
    <row r="21" spans="1:6" x14ac:dyDescent="0.25">
      <c r="A21" s="23" t="s">
        <v>136</v>
      </c>
      <c r="B21" s="23"/>
      <c r="C21" s="23"/>
      <c r="D21" s="23"/>
      <c r="E21" s="24" t="s">
        <v>123</v>
      </c>
      <c r="F21" s="25">
        <v>0</v>
      </c>
    </row>
    <row r="22" spans="5:6" x14ac:dyDescent="0.25">
      <c r="E22" s="26" t="s">
        <v>137</v>
      </c>
      <c r="F22" s="26"/>
    </row>
    <row r="23" ht="25" customHeight="1" spans="1:8" x14ac:dyDescent="0.25">
      <c r="A23" s="27" t="s">
        <v>138</v>
      </c>
      <c r="B23" s="28"/>
      <c r="C23" s="28"/>
      <c r="D23" s="28"/>
      <c r="E23" s="28"/>
      <c r="F23" s="29" t="s">
        <v>126</v>
      </c>
      <c r="G23" s="30" t="s">
        <v>139</v>
      </c>
      <c r="H23" s="30"/>
    </row>
    <row r="24" ht="40" customHeight="1" spans="1:8" x14ac:dyDescent="0.25">
      <c r="A24" s="27" t="s">
        <v>140</v>
      </c>
      <c r="B24" s="28"/>
      <c r="C24" s="28"/>
      <c r="D24" s="28"/>
      <c r="E24" s="28"/>
      <c r="F24" s="29"/>
      <c r="G24" s="30"/>
      <c r="H24" s="30"/>
    </row>
    <row r="25" ht="25" customHeight="1" spans="1:8" x14ac:dyDescent="0.25">
      <c r="A25" s="27" t="s">
        <v>130</v>
      </c>
      <c r="B25" s="28"/>
      <c r="C25" s="28"/>
      <c r="D25" s="28"/>
      <c r="E25" s="28"/>
      <c r="F25" s="29"/>
      <c r="G25" s="30"/>
      <c r="H25" s="30"/>
    </row>
    <row r="27" spans="1:6" x14ac:dyDescent="0.25">
      <c r="A27" s="23" t="s">
        <v>141</v>
      </c>
      <c r="B27" s="23"/>
      <c r="C27" s="23"/>
      <c r="D27" s="23"/>
      <c r="E27" s="24" t="s">
        <v>123</v>
      </c>
      <c r="F27" s="25">
        <v>0</v>
      </c>
    </row>
    <row r="28" spans="5:6" x14ac:dyDescent="0.25">
      <c r="E28" s="26" t="s">
        <v>142</v>
      </c>
      <c r="F28" s="26"/>
    </row>
    <row r="29" ht="25" customHeight="1" spans="1:8" x14ac:dyDescent="0.25">
      <c r="A29" s="27" t="s">
        <v>143</v>
      </c>
      <c r="B29" s="28"/>
      <c r="C29" s="28"/>
      <c r="D29" s="28"/>
      <c r="E29" s="28"/>
      <c r="F29" s="29" t="s">
        <v>126</v>
      </c>
      <c r="G29" s="30" t="s">
        <v>144</v>
      </c>
      <c r="H29" s="30"/>
    </row>
    <row r="30" ht="40" customHeight="1" spans="1:8" x14ac:dyDescent="0.25">
      <c r="A30" s="27" t="s">
        <v>145</v>
      </c>
      <c r="B30" s="28"/>
      <c r="C30" s="28"/>
      <c r="D30" s="28"/>
      <c r="E30" s="28"/>
      <c r="F30" s="29"/>
      <c r="G30" s="30"/>
      <c r="H30" s="30"/>
    </row>
    <row r="31" ht="25" customHeight="1" spans="1:8" x14ac:dyDescent="0.25">
      <c r="A31" s="27" t="s">
        <v>130</v>
      </c>
      <c r="B31" s="28"/>
      <c r="C31" s="28"/>
      <c r="D31" s="28"/>
      <c r="E31" s="28"/>
      <c r="F31" s="29"/>
      <c r="G31" s="30"/>
      <c r="H31" s="30"/>
    </row>
    <row r="33" spans="1:6" x14ac:dyDescent="0.25">
      <c r="A33" s="23" t="s">
        <v>146</v>
      </c>
      <c r="B33" s="23"/>
      <c r="C33" s="23"/>
      <c r="D33" s="23"/>
      <c r="E33" s="24" t="s">
        <v>123</v>
      </c>
      <c r="F33" s="25">
        <v>0</v>
      </c>
    </row>
    <row r="34" spans="5:6" x14ac:dyDescent="0.25">
      <c r="E34" s="26" t="s">
        <v>137</v>
      </c>
      <c r="F34" s="26"/>
    </row>
    <row r="35" ht="25" customHeight="1" spans="1:5" x14ac:dyDescent="0.25">
      <c r="A35" s="27" t="s">
        <v>130</v>
      </c>
      <c r="B35" s="28"/>
      <c r="C35" s="28"/>
      <c r="D35" s="28"/>
      <c r="E35" s="28"/>
    </row>
    <row r="37" spans="1:6" x14ac:dyDescent="0.25">
      <c r="A37" s="23" t="s">
        <v>147</v>
      </c>
      <c r="B37" s="23"/>
      <c r="C37" s="23"/>
      <c r="D37" s="23"/>
      <c r="E37" s="24" t="s">
        <v>123</v>
      </c>
      <c r="F37" s="25">
        <v>0</v>
      </c>
    </row>
    <row r="38" spans="5:6" x14ac:dyDescent="0.25">
      <c r="E38" s="26" t="s">
        <v>124</v>
      </c>
      <c r="F38" s="26"/>
    </row>
    <row r="39" ht="40" customHeight="1" spans="1:5" x14ac:dyDescent="0.25">
      <c r="A39" s="27" t="s">
        <v>148</v>
      </c>
      <c r="B39" s="28"/>
      <c r="C39" s="28"/>
      <c r="D39" s="28"/>
      <c r="E39" s="28"/>
    </row>
    <row r="40" ht="25" customHeight="1" spans="1:5" x14ac:dyDescent="0.25">
      <c r="A40" s="27" t="s">
        <v>130</v>
      </c>
      <c r="B40" s="28"/>
      <c r="C40" s="28"/>
      <c r="D40" s="28"/>
      <c r="E40" s="28"/>
    </row>
  </sheetData>
  <mergeCells count="39">
    <mergeCell ref="B4:D4"/>
    <mergeCell ref="B5:D5"/>
    <mergeCell ref="B6:D6"/>
    <mergeCell ref="A8:D8"/>
    <mergeCell ref="E9:F9"/>
    <mergeCell ref="B10:E10"/>
    <mergeCell ref="G10:H13"/>
    <mergeCell ref="B11:E11"/>
    <mergeCell ref="F10:F13"/>
    <mergeCell ref="B12:E12"/>
    <mergeCell ref="B13:E13"/>
    <mergeCell ref="A15:D15"/>
    <mergeCell ref="E16:F16"/>
    <mergeCell ref="B17:E17"/>
    <mergeCell ref="G17:H19"/>
    <mergeCell ref="B18:E18"/>
    <mergeCell ref="F17:F19"/>
    <mergeCell ref="B19:E19"/>
    <mergeCell ref="A21:D21"/>
    <mergeCell ref="E22:F22"/>
    <mergeCell ref="B23:E23"/>
    <mergeCell ref="G23:H25"/>
    <mergeCell ref="B24:E24"/>
    <mergeCell ref="F23:F25"/>
    <mergeCell ref="B25:E25"/>
    <mergeCell ref="A27:D27"/>
    <mergeCell ref="E28:F28"/>
    <mergeCell ref="B29:E29"/>
    <mergeCell ref="G29:H31"/>
    <mergeCell ref="B30:E30"/>
    <mergeCell ref="F29:F31"/>
    <mergeCell ref="B31:E31"/>
    <mergeCell ref="A33:D33"/>
    <mergeCell ref="E34:F34"/>
    <mergeCell ref="B35:E35"/>
    <mergeCell ref="A37:D37"/>
    <mergeCell ref="E38:F38"/>
    <mergeCell ref="B39:E39"/>
    <mergeCell ref="B40:E4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2</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Curricular'!$F$4:$F$100=2), 1), "")</f>
        <v/>
      </c>
      <c r="C28" s="20"/>
      <c r="D28" s="20" t="str">
        <f>IFERROR(INDEX(_xlfn.FILTER('Contenido Curricular'!$C$4:$C$100, 'Contenido Curricular'!$F$4:$F$100=2), 1), "")</f>
        <v/>
      </c>
      <c r="E28" s="20"/>
      <c r="F28" s="20" t="str">
        <f>IFERROR(INDEX(_xlfn.FILTER('Contenido Curricular'!$D$4:$D$100, 'Contenido Curricular'!$F$4:$F$100=2), 1), "")</f>
        <v/>
      </c>
      <c r="G28" s="20"/>
      <c r="H28" s="20"/>
    </row>
    <row r="29" ht="45" customHeight="1" spans="1:8" x14ac:dyDescent="0.25">
      <c r="A29" s="40">
        <v>2</v>
      </c>
      <c r="B29" s="20" t="str">
        <f>IFERROR(INDEX(_xlfn.FILTER('Contenido Curricular'!$B$4:$B$100, 'Contenido Curricular'!$F$4:$F$100=2), 2), "")</f>
        <v/>
      </c>
      <c r="C29" s="20"/>
      <c r="D29" s="20" t="str">
        <f>IFERROR(INDEX(_xlfn.FILTER('Contenido Curricular'!$C$4:$C$100, 'Contenido Curricular'!$F$4:$F$100=2), 2), "")</f>
        <v/>
      </c>
      <c r="E29" s="20"/>
      <c r="F29" s="20" t="str">
        <f>IFERROR(INDEX(_xlfn.FILTER('Contenido Curricular'!$D$4:$D$100, 'Contenido Curricular'!$F$4:$F$100=2), 2), "")</f>
        <v/>
      </c>
      <c r="G29" s="20"/>
      <c r="H29" s="20"/>
    </row>
    <row r="30" ht="45" customHeight="1" spans="1:8" x14ac:dyDescent="0.25">
      <c r="A30" s="40">
        <v>3</v>
      </c>
      <c r="B30" s="20" t="str">
        <f>IFERROR(INDEX(_xlfn.FILTER('Contenido Curricular'!$B$4:$B$100, 'Contenido Curricular'!$F$4:$F$100=2), 3), "")</f>
        <v/>
      </c>
      <c r="C30" s="20"/>
      <c r="D30" s="20" t="str">
        <f>IFERROR(INDEX(_xlfn.FILTER('Contenido Curricular'!$C$4:$C$100, 'Contenido Curricular'!$F$4:$F$100=2), 3), "")</f>
        <v/>
      </c>
      <c r="E30" s="20"/>
      <c r="F30" s="20" t="str">
        <f>IFERROR(INDEX(_xlfn.FILTER('Contenido Curricular'!$D$4:$D$100, 'Contenido Curricular'!$F$4:$F$100=2), 3), "")</f>
        <v/>
      </c>
      <c r="G30" s="20"/>
      <c r="H30" s="20"/>
    </row>
    <row r="31" ht="45" customHeight="1" spans="1:8" x14ac:dyDescent="0.25">
      <c r="A31" s="40">
        <v>4</v>
      </c>
      <c r="B31" s="20" t="str">
        <f>IFERROR(INDEX(_xlfn.FILTER('Contenido Curricular'!$B$4:$B$100, 'Contenido Curricular'!$F$4:$F$100=2), 4), "")</f>
        <v/>
      </c>
      <c r="C31" s="20"/>
      <c r="D31" s="20" t="str">
        <f>IFERROR(INDEX(_xlfn.FILTER('Contenido Curricular'!$C$4:$C$100, 'Contenido Curricular'!$F$4:$F$100=2), 4), "")</f>
        <v/>
      </c>
      <c r="E31" s="20"/>
      <c r="F31" s="20" t="str">
        <f>IFERROR(INDEX(_xlfn.FILTER('Contenido Curricular'!$D$4:$D$100, 'Contenido Curricular'!$F$4:$F$100=2), 4), "")</f>
        <v/>
      </c>
      <c r="G31" s="20"/>
      <c r="H31" s="20"/>
    </row>
    <row r="32" ht="45" customHeight="1" spans="1:8" x14ac:dyDescent="0.25">
      <c r="A32" s="40">
        <v>5</v>
      </c>
      <c r="B32" s="20" t="str">
        <f>IFERROR(INDEX(_xlfn.FILTER('Contenido Curricular'!$B$4:$B$100, 'Contenido Curricular'!$F$4:$F$100=2), 5), "")</f>
        <v/>
      </c>
      <c r="C32" s="20"/>
      <c r="D32" s="20" t="str">
        <f>IFERROR(INDEX(_xlfn.FILTER('Contenido Curricular'!$C$4:$C$100, 'Contenido Curricular'!$F$4:$F$100=2), 5), "")</f>
        <v/>
      </c>
      <c r="E32" s="20"/>
      <c r="F32" s="20" t="str">
        <f>IFERROR(INDEX(_xlfn.FILTER('Contenido Curricular'!$D$4:$D$100, 'Contenido Curricular'!$F$4:$F$100=2), 5), "")</f>
        <v/>
      </c>
      <c r="G32" s="20"/>
      <c r="H32" s="20"/>
    </row>
    <row r="33" ht="45" customHeight="1" spans="1:8" x14ac:dyDescent="0.25">
      <c r="A33" s="40">
        <v>6</v>
      </c>
      <c r="B33" s="20" t="str">
        <f>IFERROR(INDEX(_xlfn.FILTER('Contenido Curricular'!$B$4:$B$100, 'Contenido Curricular'!$F$4:$F$100=2), 6), "")</f>
        <v/>
      </c>
      <c r="C33" s="20"/>
      <c r="D33" s="20" t="str">
        <f>IFERROR(INDEX(_xlfn.FILTER('Contenido Curricular'!$C$4:$C$100, 'Contenido Curricular'!$F$4:$F$100=2), 6), "")</f>
        <v/>
      </c>
      <c r="E33" s="20"/>
      <c r="F33" s="20" t="str">
        <f>IFERROR(INDEX(_xlfn.FILTER('Contenido Curricular'!$D$4:$D$100, 'Contenido Curricular'!$F$4:$F$100=2), 6), "")</f>
        <v/>
      </c>
      <c r="G33" s="20"/>
      <c r="H33" s="20"/>
    </row>
    <row r="34" ht="45" customHeight="1" spans="1:8" x14ac:dyDescent="0.25">
      <c r="A34" s="40">
        <v>7</v>
      </c>
      <c r="B34" s="20" t="str">
        <f>IFERROR(INDEX(_xlfn.FILTER('Contenido Curricular'!$B$4:$B$100, 'Contenido Curricular'!$F$4:$F$100=2), 7), "")</f>
        <v/>
      </c>
      <c r="C34" s="20"/>
      <c r="D34" s="20" t="str">
        <f>IFERROR(INDEX(_xlfn.FILTER('Contenido Curricular'!$C$4:$C$100, 'Contenido Curricular'!$F$4:$F$100=2), 7), "")</f>
        <v/>
      </c>
      <c r="E34" s="20"/>
      <c r="F34" s="20" t="str">
        <f>IFERROR(INDEX(_xlfn.FILTER('Contenido Curricular'!$D$4:$D$100, 'Contenido Curricular'!$F$4:$F$100=2), 7), "")</f>
        <v/>
      </c>
      <c r="G34" s="20"/>
      <c r="H34" s="20"/>
    </row>
    <row r="35" ht="45" customHeight="1" spans="1:8" x14ac:dyDescent="0.25">
      <c r="A35" s="40">
        <v>8</v>
      </c>
      <c r="B35" s="20" t="str">
        <f>IFERROR(INDEX(_xlfn.FILTER('Contenido Curricular'!$B$4:$B$100, 'Contenido Curricular'!$F$4:$F$100=2), 8), "")</f>
        <v/>
      </c>
      <c r="C35" s="20"/>
      <c r="D35" s="20" t="str">
        <f>IFERROR(INDEX(_xlfn.FILTER('Contenido Curricular'!$C$4:$C$100, 'Contenido Curricular'!$F$4:$F$100=2), 8), "")</f>
        <v/>
      </c>
      <c r="E35" s="20"/>
      <c r="F35" s="20" t="str">
        <f>IFERROR(INDEX(_xlfn.FILTER('Contenido Curricular'!$D$4:$D$100, 'Contenido Curricular'!$F$4:$F$100=2), 8), "")</f>
        <v/>
      </c>
      <c r="G35" s="20"/>
      <c r="H35" s="20"/>
    </row>
    <row r="36" ht="45" customHeight="1" spans="1:8" x14ac:dyDescent="0.25">
      <c r="A36" s="40">
        <v>9</v>
      </c>
      <c r="B36" s="20" t="str">
        <f>IFERROR(INDEX(_xlfn.FILTER('Contenido Curricular'!$B$4:$B$100, 'Contenido Curricular'!$F$4:$F$100=2), 9), "")</f>
        <v/>
      </c>
      <c r="C36" s="20"/>
      <c r="D36" s="20" t="str">
        <f>IFERROR(INDEX(_xlfn.FILTER('Contenido Curricular'!$C$4:$C$100, 'Contenido Curricular'!$F$4:$F$100=2), 9), "")</f>
        <v/>
      </c>
      <c r="E36" s="20"/>
      <c r="F36" s="20" t="str">
        <f>IFERROR(INDEX(_xlfn.FILTER('Contenido Curricular'!$D$4:$D$100, 'Contenido Curricular'!$F$4:$F$100=2), 9), "")</f>
        <v/>
      </c>
      <c r="G36" s="20"/>
      <c r="H36" s="20"/>
    </row>
    <row r="37" ht="45" customHeight="1" spans="1:8" x14ac:dyDescent="0.25">
      <c r="A37" s="40">
        <v>10</v>
      </c>
      <c r="B37" s="20" t="str">
        <f>IFERROR(INDEX(_xlfn.FILTER('Contenido Curricular'!$B$4:$B$100, 'Contenido Curricular'!$F$4:$F$100=2), 10), "")</f>
        <v/>
      </c>
      <c r="C37" s="20"/>
      <c r="D37" s="20" t="str">
        <f>IFERROR(INDEX(_xlfn.FILTER('Contenido Curricular'!$C$4:$C$100, 'Contenido Curricular'!$F$4:$F$100=2), 10), "")</f>
        <v/>
      </c>
      <c r="E37" s="20"/>
      <c r="F37" s="20" t="str">
        <f>IFERROR(INDEX(_xlfn.FILTER('Contenido Curricular'!$D$4:$D$100, 'Contenido Curricular'!$F$4:$F$100=2),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3</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Curricular'!$F$4:$F$100=3), 1), "")</f>
        <v/>
      </c>
      <c r="C28" s="20"/>
      <c r="D28" s="20" t="str">
        <f>IFERROR(INDEX(_xlfn.FILTER('Contenido Curricular'!$C$4:$C$100, 'Contenido Curricular'!$F$4:$F$100=3), 1), "")</f>
        <v/>
      </c>
      <c r="E28" s="20"/>
      <c r="F28" s="20" t="str">
        <f>IFERROR(INDEX(_xlfn.FILTER('Contenido Curricular'!$D$4:$D$100, 'Contenido Curricular'!$F$4:$F$100=3), 1), "")</f>
        <v/>
      </c>
      <c r="G28" s="20"/>
      <c r="H28" s="20"/>
    </row>
    <row r="29" ht="45" customHeight="1" spans="1:8" x14ac:dyDescent="0.25">
      <c r="A29" s="40">
        <v>2</v>
      </c>
      <c r="B29" s="20" t="str">
        <f>IFERROR(INDEX(_xlfn.FILTER('Contenido Curricular'!$B$4:$B$100, 'Contenido Curricular'!$F$4:$F$100=3), 2), "")</f>
        <v/>
      </c>
      <c r="C29" s="20"/>
      <c r="D29" s="20" t="str">
        <f>IFERROR(INDEX(_xlfn.FILTER('Contenido Curricular'!$C$4:$C$100, 'Contenido Curricular'!$F$4:$F$100=3), 2), "")</f>
        <v/>
      </c>
      <c r="E29" s="20"/>
      <c r="F29" s="20" t="str">
        <f>IFERROR(INDEX(_xlfn.FILTER('Contenido Curricular'!$D$4:$D$100, 'Contenido Curricular'!$F$4:$F$100=3), 2), "")</f>
        <v/>
      </c>
      <c r="G29" s="20"/>
      <c r="H29" s="20"/>
    </row>
    <row r="30" ht="45" customHeight="1" spans="1:8" x14ac:dyDescent="0.25">
      <c r="A30" s="40">
        <v>3</v>
      </c>
      <c r="B30" s="20" t="str">
        <f>IFERROR(INDEX(_xlfn.FILTER('Contenido Curricular'!$B$4:$B$100, 'Contenido Curricular'!$F$4:$F$100=3), 3), "")</f>
        <v/>
      </c>
      <c r="C30" s="20"/>
      <c r="D30" s="20" t="str">
        <f>IFERROR(INDEX(_xlfn.FILTER('Contenido Curricular'!$C$4:$C$100, 'Contenido Curricular'!$F$4:$F$100=3), 3), "")</f>
        <v/>
      </c>
      <c r="E30" s="20"/>
      <c r="F30" s="20" t="str">
        <f>IFERROR(INDEX(_xlfn.FILTER('Contenido Curricular'!$D$4:$D$100, 'Contenido Curricular'!$F$4:$F$100=3), 3), "")</f>
        <v/>
      </c>
      <c r="G30" s="20"/>
      <c r="H30" s="20"/>
    </row>
    <row r="31" ht="45" customHeight="1" spans="1:8" x14ac:dyDescent="0.25">
      <c r="A31" s="40">
        <v>4</v>
      </c>
      <c r="B31" s="20" t="str">
        <f>IFERROR(INDEX(_xlfn.FILTER('Contenido Curricular'!$B$4:$B$100, 'Contenido Curricular'!$F$4:$F$100=3), 4), "")</f>
        <v/>
      </c>
      <c r="C31" s="20"/>
      <c r="D31" s="20" t="str">
        <f>IFERROR(INDEX(_xlfn.FILTER('Contenido Curricular'!$C$4:$C$100, 'Contenido Curricular'!$F$4:$F$100=3), 4), "")</f>
        <v/>
      </c>
      <c r="E31" s="20"/>
      <c r="F31" s="20" t="str">
        <f>IFERROR(INDEX(_xlfn.FILTER('Contenido Curricular'!$D$4:$D$100, 'Contenido Curricular'!$F$4:$F$100=3), 4), "")</f>
        <v/>
      </c>
      <c r="G31" s="20"/>
      <c r="H31" s="20"/>
    </row>
    <row r="32" ht="45" customHeight="1" spans="1:8" x14ac:dyDescent="0.25">
      <c r="A32" s="40">
        <v>5</v>
      </c>
      <c r="B32" s="20" t="str">
        <f>IFERROR(INDEX(_xlfn.FILTER('Contenido Curricular'!$B$4:$B$100, 'Contenido Curricular'!$F$4:$F$100=3), 5), "")</f>
        <v/>
      </c>
      <c r="C32" s="20"/>
      <c r="D32" s="20" t="str">
        <f>IFERROR(INDEX(_xlfn.FILTER('Contenido Curricular'!$C$4:$C$100, 'Contenido Curricular'!$F$4:$F$100=3), 5), "")</f>
        <v/>
      </c>
      <c r="E32" s="20"/>
      <c r="F32" s="20" t="str">
        <f>IFERROR(INDEX(_xlfn.FILTER('Contenido Curricular'!$D$4:$D$100, 'Contenido Curricular'!$F$4:$F$100=3), 5), "")</f>
        <v/>
      </c>
      <c r="G32" s="20"/>
      <c r="H32" s="20"/>
    </row>
    <row r="33" ht="45" customHeight="1" spans="1:8" x14ac:dyDescent="0.25">
      <c r="A33" s="40">
        <v>6</v>
      </c>
      <c r="B33" s="20" t="str">
        <f>IFERROR(INDEX(_xlfn.FILTER('Contenido Curricular'!$B$4:$B$100, 'Contenido Curricular'!$F$4:$F$100=3), 6), "")</f>
        <v/>
      </c>
      <c r="C33" s="20"/>
      <c r="D33" s="20" t="str">
        <f>IFERROR(INDEX(_xlfn.FILTER('Contenido Curricular'!$C$4:$C$100, 'Contenido Curricular'!$F$4:$F$100=3), 6), "")</f>
        <v/>
      </c>
      <c r="E33" s="20"/>
      <c r="F33" s="20" t="str">
        <f>IFERROR(INDEX(_xlfn.FILTER('Contenido Curricular'!$D$4:$D$100, 'Contenido Curricular'!$F$4:$F$100=3), 6), "")</f>
        <v/>
      </c>
      <c r="G33" s="20"/>
      <c r="H33" s="20"/>
    </row>
    <row r="34" ht="45" customHeight="1" spans="1:8" x14ac:dyDescent="0.25">
      <c r="A34" s="40">
        <v>7</v>
      </c>
      <c r="B34" s="20" t="str">
        <f>IFERROR(INDEX(_xlfn.FILTER('Contenido Curricular'!$B$4:$B$100, 'Contenido Curricular'!$F$4:$F$100=3), 7), "")</f>
        <v/>
      </c>
      <c r="C34" s="20"/>
      <c r="D34" s="20" t="str">
        <f>IFERROR(INDEX(_xlfn.FILTER('Contenido Curricular'!$C$4:$C$100, 'Contenido Curricular'!$F$4:$F$100=3), 7), "")</f>
        <v/>
      </c>
      <c r="E34" s="20"/>
      <c r="F34" s="20" t="str">
        <f>IFERROR(INDEX(_xlfn.FILTER('Contenido Curricular'!$D$4:$D$100, 'Contenido Curricular'!$F$4:$F$100=3), 7), "")</f>
        <v/>
      </c>
      <c r="G34" s="20"/>
      <c r="H34" s="20"/>
    </row>
    <row r="35" ht="45" customHeight="1" spans="1:8" x14ac:dyDescent="0.25">
      <c r="A35" s="40">
        <v>8</v>
      </c>
      <c r="B35" s="20" t="str">
        <f>IFERROR(INDEX(_xlfn.FILTER('Contenido Curricular'!$B$4:$B$100, 'Contenido Curricular'!$F$4:$F$100=3), 8), "")</f>
        <v/>
      </c>
      <c r="C35" s="20"/>
      <c r="D35" s="20" t="str">
        <f>IFERROR(INDEX(_xlfn.FILTER('Contenido Curricular'!$C$4:$C$100, 'Contenido Curricular'!$F$4:$F$100=3), 8), "")</f>
        <v/>
      </c>
      <c r="E35" s="20"/>
      <c r="F35" s="20" t="str">
        <f>IFERROR(INDEX(_xlfn.FILTER('Contenido Curricular'!$D$4:$D$100, 'Contenido Curricular'!$F$4:$F$100=3), 8), "")</f>
        <v/>
      </c>
      <c r="G35" s="20"/>
      <c r="H35" s="20"/>
    </row>
    <row r="36" ht="45" customHeight="1" spans="1:8" x14ac:dyDescent="0.25">
      <c r="A36" s="40">
        <v>9</v>
      </c>
      <c r="B36" s="20" t="str">
        <f>IFERROR(INDEX(_xlfn.FILTER('Contenido Curricular'!$B$4:$B$100, 'Contenido Curricular'!$F$4:$F$100=3), 9), "")</f>
        <v/>
      </c>
      <c r="C36" s="20"/>
      <c r="D36" s="20" t="str">
        <f>IFERROR(INDEX(_xlfn.FILTER('Contenido Curricular'!$C$4:$C$100, 'Contenido Curricular'!$F$4:$F$100=3), 9), "")</f>
        <v/>
      </c>
      <c r="E36" s="20"/>
      <c r="F36" s="20" t="str">
        <f>IFERROR(INDEX(_xlfn.FILTER('Contenido Curricular'!$D$4:$D$100, 'Contenido Curricular'!$F$4:$F$100=3), 9), "")</f>
        <v/>
      </c>
      <c r="G36" s="20"/>
      <c r="H36" s="20"/>
    </row>
    <row r="37" ht="45" customHeight="1" spans="1:8" x14ac:dyDescent="0.25">
      <c r="A37" s="40">
        <v>10</v>
      </c>
      <c r="B37" s="20" t="str">
        <f>IFERROR(INDEX(_xlfn.FILTER('Contenido Curricular'!$B$4:$B$100, 'Contenido Curricular'!$F$4:$F$100=3), 10), "")</f>
        <v/>
      </c>
      <c r="C37" s="20"/>
      <c r="D37" s="20" t="str">
        <f>IFERROR(INDEX(_xlfn.FILTER('Contenido Curricular'!$C$4:$C$100, 'Contenido Curricular'!$F$4:$F$100=3), 10), "")</f>
        <v/>
      </c>
      <c r="E37" s="20"/>
      <c r="F37" s="20" t="str">
        <f>IFERROR(INDEX(_xlfn.FILTER('Contenido Curricular'!$D$4:$D$100, 'Contenido Curricular'!$F$4:$F$100=3),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4</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Curricular'!$F$4:$F$100=4), 1), "")</f>
        <v/>
      </c>
      <c r="C28" s="20"/>
      <c r="D28" s="20" t="str">
        <f>IFERROR(INDEX(_xlfn.FILTER('Contenido Curricular'!$C$4:$C$100, 'Contenido Curricular'!$F$4:$F$100=4), 1), "")</f>
        <v/>
      </c>
      <c r="E28" s="20"/>
      <c r="F28" s="20" t="str">
        <f>IFERROR(INDEX(_xlfn.FILTER('Contenido Curricular'!$D$4:$D$100, 'Contenido Curricular'!$F$4:$F$100=4), 1), "")</f>
        <v/>
      </c>
      <c r="G28" s="20"/>
      <c r="H28" s="20"/>
    </row>
    <row r="29" ht="45" customHeight="1" spans="1:8" x14ac:dyDescent="0.25">
      <c r="A29" s="40">
        <v>2</v>
      </c>
      <c r="B29" s="20" t="str">
        <f>IFERROR(INDEX(_xlfn.FILTER('Contenido Curricular'!$B$4:$B$100, 'Contenido Curricular'!$F$4:$F$100=4), 2), "")</f>
        <v/>
      </c>
      <c r="C29" s="20"/>
      <c r="D29" s="20" t="str">
        <f>IFERROR(INDEX(_xlfn.FILTER('Contenido Curricular'!$C$4:$C$100, 'Contenido Curricular'!$F$4:$F$100=4), 2), "")</f>
        <v/>
      </c>
      <c r="E29" s="20"/>
      <c r="F29" s="20" t="str">
        <f>IFERROR(INDEX(_xlfn.FILTER('Contenido Curricular'!$D$4:$D$100, 'Contenido Curricular'!$F$4:$F$100=4), 2), "")</f>
        <v/>
      </c>
      <c r="G29" s="20"/>
      <c r="H29" s="20"/>
    </row>
    <row r="30" ht="45" customHeight="1" spans="1:8" x14ac:dyDescent="0.25">
      <c r="A30" s="40">
        <v>3</v>
      </c>
      <c r="B30" s="20" t="str">
        <f>IFERROR(INDEX(_xlfn.FILTER('Contenido Curricular'!$B$4:$B$100, 'Contenido Curricular'!$F$4:$F$100=4), 3), "")</f>
        <v/>
      </c>
      <c r="C30" s="20"/>
      <c r="D30" s="20" t="str">
        <f>IFERROR(INDEX(_xlfn.FILTER('Contenido Curricular'!$C$4:$C$100, 'Contenido Curricular'!$F$4:$F$100=4), 3), "")</f>
        <v/>
      </c>
      <c r="E30" s="20"/>
      <c r="F30" s="20" t="str">
        <f>IFERROR(INDEX(_xlfn.FILTER('Contenido Curricular'!$D$4:$D$100, 'Contenido Curricular'!$F$4:$F$100=4), 3), "")</f>
        <v/>
      </c>
      <c r="G30" s="20"/>
      <c r="H30" s="20"/>
    </row>
    <row r="31" ht="45" customHeight="1" spans="1:8" x14ac:dyDescent="0.25">
      <c r="A31" s="40">
        <v>4</v>
      </c>
      <c r="B31" s="20" t="str">
        <f>IFERROR(INDEX(_xlfn.FILTER('Contenido Curricular'!$B$4:$B$100, 'Contenido Curricular'!$F$4:$F$100=4), 4), "")</f>
        <v/>
      </c>
      <c r="C31" s="20"/>
      <c r="D31" s="20" t="str">
        <f>IFERROR(INDEX(_xlfn.FILTER('Contenido Curricular'!$C$4:$C$100, 'Contenido Curricular'!$F$4:$F$100=4), 4), "")</f>
        <v/>
      </c>
      <c r="E31" s="20"/>
      <c r="F31" s="20" t="str">
        <f>IFERROR(INDEX(_xlfn.FILTER('Contenido Curricular'!$D$4:$D$100, 'Contenido Curricular'!$F$4:$F$100=4), 4), "")</f>
        <v/>
      </c>
      <c r="G31" s="20"/>
      <c r="H31" s="20"/>
    </row>
    <row r="32" ht="45" customHeight="1" spans="1:8" x14ac:dyDescent="0.25">
      <c r="A32" s="40">
        <v>5</v>
      </c>
      <c r="B32" s="20" t="str">
        <f>IFERROR(INDEX(_xlfn.FILTER('Contenido Curricular'!$B$4:$B$100, 'Contenido Curricular'!$F$4:$F$100=4), 5), "")</f>
        <v/>
      </c>
      <c r="C32" s="20"/>
      <c r="D32" s="20" t="str">
        <f>IFERROR(INDEX(_xlfn.FILTER('Contenido Curricular'!$C$4:$C$100, 'Contenido Curricular'!$F$4:$F$100=4), 5), "")</f>
        <v/>
      </c>
      <c r="E32" s="20"/>
      <c r="F32" s="20" t="str">
        <f>IFERROR(INDEX(_xlfn.FILTER('Contenido Curricular'!$D$4:$D$100, 'Contenido Curricular'!$F$4:$F$100=4), 5), "")</f>
        <v/>
      </c>
      <c r="G32" s="20"/>
      <c r="H32" s="20"/>
    </row>
    <row r="33" ht="45" customHeight="1" spans="1:8" x14ac:dyDescent="0.25">
      <c r="A33" s="40">
        <v>6</v>
      </c>
      <c r="B33" s="20" t="str">
        <f>IFERROR(INDEX(_xlfn.FILTER('Contenido Curricular'!$B$4:$B$100, 'Contenido Curricular'!$F$4:$F$100=4), 6), "")</f>
        <v/>
      </c>
      <c r="C33" s="20"/>
      <c r="D33" s="20" t="str">
        <f>IFERROR(INDEX(_xlfn.FILTER('Contenido Curricular'!$C$4:$C$100, 'Contenido Curricular'!$F$4:$F$100=4), 6), "")</f>
        <v/>
      </c>
      <c r="E33" s="20"/>
      <c r="F33" s="20" t="str">
        <f>IFERROR(INDEX(_xlfn.FILTER('Contenido Curricular'!$D$4:$D$100, 'Contenido Curricular'!$F$4:$F$100=4), 6), "")</f>
        <v/>
      </c>
      <c r="G33" s="20"/>
      <c r="H33" s="20"/>
    </row>
    <row r="34" ht="45" customHeight="1" spans="1:8" x14ac:dyDescent="0.25">
      <c r="A34" s="40">
        <v>7</v>
      </c>
      <c r="B34" s="20" t="str">
        <f>IFERROR(INDEX(_xlfn.FILTER('Contenido Curricular'!$B$4:$B$100, 'Contenido Curricular'!$F$4:$F$100=4), 7), "")</f>
        <v/>
      </c>
      <c r="C34" s="20"/>
      <c r="D34" s="20" t="str">
        <f>IFERROR(INDEX(_xlfn.FILTER('Contenido Curricular'!$C$4:$C$100, 'Contenido Curricular'!$F$4:$F$100=4), 7), "")</f>
        <v/>
      </c>
      <c r="E34" s="20"/>
      <c r="F34" s="20" t="str">
        <f>IFERROR(INDEX(_xlfn.FILTER('Contenido Curricular'!$D$4:$D$100, 'Contenido Curricular'!$F$4:$F$100=4), 7), "")</f>
        <v/>
      </c>
      <c r="G34" s="20"/>
      <c r="H34" s="20"/>
    </row>
    <row r="35" ht="45" customHeight="1" spans="1:8" x14ac:dyDescent="0.25">
      <c r="A35" s="40">
        <v>8</v>
      </c>
      <c r="B35" s="20" t="str">
        <f>IFERROR(INDEX(_xlfn.FILTER('Contenido Curricular'!$B$4:$B$100, 'Contenido Curricular'!$F$4:$F$100=4), 8), "")</f>
        <v/>
      </c>
      <c r="C35" s="20"/>
      <c r="D35" s="20" t="str">
        <f>IFERROR(INDEX(_xlfn.FILTER('Contenido Curricular'!$C$4:$C$100, 'Contenido Curricular'!$F$4:$F$100=4), 8), "")</f>
        <v/>
      </c>
      <c r="E35" s="20"/>
      <c r="F35" s="20" t="str">
        <f>IFERROR(INDEX(_xlfn.FILTER('Contenido Curricular'!$D$4:$D$100, 'Contenido Curricular'!$F$4:$F$100=4), 8), "")</f>
        <v/>
      </c>
      <c r="G35" s="20"/>
      <c r="H35" s="20"/>
    </row>
    <row r="36" ht="45" customHeight="1" spans="1:8" x14ac:dyDescent="0.25">
      <c r="A36" s="40">
        <v>9</v>
      </c>
      <c r="B36" s="20" t="str">
        <f>IFERROR(INDEX(_xlfn.FILTER('Contenido Curricular'!$B$4:$B$100, 'Contenido Curricular'!$F$4:$F$100=4), 9), "")</f>
        <v/>
      </c>
      <c r="C36" s="20"/>
      <c r="D36" s="20" t="str">
        <f>IFERROR(INDEX(_xlfn.FILTER('Contenido Curricular'!$C$4:$C$100, 'Contenido Curricular'!$F$4:$F$100=4), 9), "")</f>
        <v/>
      </c>
      <c r="E36" s="20"/>
      <c r="F36" s="20" t="str">
        <f>IFERROR(INDEX(_xlfn.FILTER('Contenido Curricular'!$D$4:$D$100, 'Contenido Curricular'!$F$4:$F$100=4), 9), "")</f>
        <v/>
      </c>
      <c r="G36" s="20"/>
      <c r="H36" s="20"/>
    </row>
    <row r="37" ht="45" customHeight="1" spans="1:8" x14ac:dyDescent="0.25">
      <c r="A37" s="40">
        <v>10</v>
      </c>
      <c r="B37" s="20" t="str">
        <f>IFERROR(INDEX(_xlfn.FILTER('Contenido Curricular'!$B$4:$B$100, 'Contenido Curricular'!$F$4:$F$100=4), 10), "")</f>
        <v/>
      </c>
      <c r="C37" s="20"/>
      <c r="D37" s="20" t="str">
        <f>IFERROR(INDEX(_xlfn.FILTER('Contenido Curricular'!$C$4:$C$100, 'Contenido Curricular'!$F$4:$F$100=4), 10), "")</f>
        <v/>
      </c>
      <c r="E37" s="20"/>
      <c r="F37" s="20" t="str">
        <f>IFERROR(INDEX(_xlfn.FILTER('Contenido Curricular'!$D$4:$D$100, 'Contenido Curricular'!$F$4:$F$100=4),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5</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Curricular'!$F$4:$F$100=5), 1), "")</f>
        <v/>
      </c>
      <c r="C28" s="20"/>
      <c r="D28" s="20" t="str">
        <f>IFERROR(INDEX(_xlfn.FILTER('Contenido Curricular'!$C$4:$C$100, 'Contenido Curricular'!$F$4:$F$100=5), 1), "")</f>
        <v/>
      </c>
      <c r="E28" s="20"/>
      <c r="F28" s="20" t="str">
        <f>IFERROR(INDEX(_xlfn.FILTER('Contenido Curricular'!$D$4:$D$100, 'Contenido Curricular'!$F$4:$F$100=5), 1), "")</f>
        <v/>
      </c>
      <c r="G28" s="20"/>
      <c r="H28" s="20"/>
    </row>
    <row r="29" ht="45" customHeight="1" spans="1:8" x14ac:dyDescent="0.25">
      <c r="A29" s="40">
        <v>2</v>
      </c>
      <c r="B29" s="20" t="str">
        <f>IFERROR(INDEX(_xlfn.FILTER('Contenido Curricular'!$B$4:$B$100, 'Contenido Curricular'!$F$4:$F$100=5), 2), "")</f>
        <v/>
      </c>
      <c r="C29" s="20"/>
      <c r="D29" s="20" t="str">
        <f>IFERROR(INDEX(_xlfn.FILTER('Contenido Curricular'!$C$4:$C$100, 'Contenido Curricular'!$F$4:$F$100=5), 2), "")</f>
        <v/>
      </c>
      <c r="E29" s="20"/>
      <c r="F29" s="20" t="str">
        <f>IFERROR(INDEX(_xlfn.FILTER('Contenido Curricular'!$D$4:$D$100, 'Contenido Curricular'!$F$4:$F$100=5), 2), "")</f>
        <v/>
      </c>
      <c r="G29" s="20"/>
      <c r="H29" s="20"/>
    </row>
    <row r="30" ht="45" customHeight="1" spans="1:8" x14ac:dyDescent="0.25">
      <c r="A30" s="40">
        <v>3</v>
      </c>
      <c r="B30" s="20" t="str">
        <f>IFERROR(INDEX(_xlfn.FILTER('Contenido Curricular'!$B$4:$B$100, 'Contenido Curricular'!$F$4:$F$100=5), 3), "")</f>
        <v/>
      </c>
      <c r="C30" s="20"/>
      <c r="D30" s="20" t="str">
        <f>IFERROR(INDEX(_xlfn.FILTER('Contenido Curricular'!$C$4:$C$100, 'Contenido Curricular'!$F$4:$F$100=5), 3), "")</f>
        <v/>
      </c>
      <c r="E30" s="20"/>
      <c r="F30" s="20" t="str">
        <f>IFERROR(INDEX(_xlfn.FILTER('Contenido Curricular'!$D$4:$D$100, 'Contenido Curricular'!$F$4:$F$100=5), 3), "")</f>
        <v/>
      </c>
      <c r="G30" s="20"/>
      <c r="H30" s="20"/>
    </row>
    <row r="31" ht="45" customHeight="1" spans="1:8" x14ac:dyDescent="0.25">
      <c r="A31" s="40">
        <v>4</v>
      </c>
      <c r="B31" s="20" t="str">
        <f>IFERROR(INDEX(_xlfn.FILTER('Contenido Curricular'!$B$4:$B$100, 'Contenido Curricular'!$F$4:$F$100=5), 4), "")</f>
        <v/>
      </c>
      <c r="C31" s="20"/>
      <c r="D31" s="20" t="str">
        <f>IFERROR(INDEX(_xlfn.FILTER('Contenido Curricular'!$C$4:$C$100, 'Contenido Curricular'!$F$4:$F$100=5), 4), "")</f>
        <v/>
      </c>
      <c r="E31" s="20"/>
      <c r="F31" s="20" t="str">
        <f>IFERROR(INDEX(_xlfn.FILTER('Contenido Curricular'!$D$4:$D$100, 'Contenido Curricular'!$F$4:$F$100=5), 4), "")</f>
        <v/>
      </c>
      <c r="G31" s="20"/>
      <c r="H31" s="20"/>
    </row>
    <row r="32" ht="45" customHeight="1" spans="1:8" x14ac:dyDescent="0.25">
      <c r="A32" s="40">
        <v>5</v>
      </c>
      <c r="B32" s="20" t="str">
        <f>IFERROR(INDEX(_xlfn.FILTER('Contenido Curricular'!$B$4:$B$100, 'Contenido Curricular'!$F$4:$F$100=5), 5), "")</f>
        <v/>
      </c>
      <c r="C32" s="20"/>
      <c r="D32" s="20" t="str">
        <f>IFERROR(INDEX(_xlfn.FILTER('Contenido Curricular'!$C$4:$C$100, 'Contenido Curricular'!$F$4:$F$100=5), 5), "")</f>
        <v/>
      </c>
      <c r="E32" s="20"/>
      <c r="F32" s="20" t="str">
        <f>IFERROR(INDEX(_xlfn.FILTER('Contenido Curricular'!$D$4:$D$100, 'Contenido Curricular'!$F$4:$F$100=5), 5), "")</f>
        <v/>
      </c>
      <c r="G32" s="20"/>
      <c r="H32" s="20"/>
    </row>
    <row r="33" ht="45" customHeight="1" spans="1:8" x14ac:dyDescent="0.25">
      <c r="A33" s="40">
        <v>6</v>
      </c>
      <c r="B33" s="20" t="str">
        <f>IFERROR(INDEX(_xlfn.FILTER('Contenido Curricular'!$B$4:$B$100, 'Contenido Curricular'!$F$4:$F$100=5), 6), "")</f>
        <v/>
      </c>
      <c r="C33" s="20"/>
      <c r="D33" s="20" t="str">
        <f>IFERROR(INDEX(_xlfn.FILTER('Contenido Curricular'!$C$4:$C$100, 'Contenido Curricular'!$F$4:$F$100=5), 6), "")</f>
        <v/>
      </c>
      <c r="E33" s="20"/>
      <c r="F33" s="20" t="str">
        <f>IFERROR(INDEX(_xlfn.FILTER('Contenido Curricular'!$D$4:$D$100, 'Contenido Curricular'!$F$4:$F$100=5), 6), "")</f>
        <v/>
      </c>
      <c r="G33" s="20"/>
      <c r="H33" s="20"/>
    </row>
    <row r="34" ht="45" customHeight="1" spans="1:8" x14ac:dyDescent="0.25">
      <c r="A34" s="40">
        <v>7</v>
      </c>
      <c r="B34" s="20" t="str">
        <f>IFERROR(INDEX(_xlfn.FILTER('Contenido Curricular'!$B$4:$B$100, 'Contenido Curricular'!$F$4:$F$100=5), 7), "")</f>
        <v/>
      </c>
      <c r="C34" s="20"/>
      <c r="D34" s="20" t="str">
        <f>IFERROR(INDEX(_xlfn.FILTER('Contenido Curricular'!$C$4:$C$100, 'Contenido Curricular'!$F$4:$F$100=5), 7), "")</f>
        <v/>
      </c>
      <c r="E34" s="20"/>
      <c r="F34" s="20" t="str">
        <f>IFERROR(INDEX(_xlfn.FILTER('Contenido Curricular'!$D$4:$D$100, 'Contenido Curricular'!$F$4:$F$100=5), 7), "")</f>
        <v/>
      </c>
      <c r="G34" s="20"/>
      <c r="H34" s="20"/>
    </row>
    <row r="35" ht="45" customHeight="1" spans="1:8" x14ac:dyDescent="0.25">
      <c r="A35" s="40">
        <v>8</v>
      </c>
      <c r="B35" s="20" t="str">
        <f>IFERROR(INDEX(_xlfn.FILTER('Contenido Curricular'!$B$4:$B$100, 'Contenido Curricular'!$F$4:$F$100=5), 8), "")</f>
        <v/>
      </c>
      <c r="C35" s="20"/>
      <c r="D35" s="20" t="str">
        <f>IFERROR(INDEX(_xlfn.FILTER('Contenido Curricular'!$C$4:$C$100, 'Contenido Curricular'!$F$4:$F$100=5), 8), "")</f>
        <v/>
      </c>
      <c r="E35" s="20"/>
      <c r="F35" s="20" t="str">
        <f>IFERROR(INDEX(_xlfn.FILTER('Contenido Curricular'!$D$4:$D$100, 'Contenido Curricular'!$F$4:$F$100=5), 8), "")</f>
        <v/>
      </c>
      <c r="G35" s="20"/>
      <c r="H35" s="20"/>
    </row>
    <row r="36" ht="45" customHeight="1" spans="1:8" x14ac:dyDescent="0.25">
      <c r="A36" s="40">
        <v>9</v>
      </c>
      <c r="B36" s="20" t="str">
        <f>IFERROR(INDEX(_xlfn.FILTER('Contenido Curricular'!$B$4:$B$100, 'Contenido Curricular'!$F$4:$F$100=5), 9), "")</f>
        <v/>
      </c>
      <c r="C36" s="20"/>
      <c r="D36" s="20" t="str">
        <f>IFERROR(INDEX(_xlfn.FILTER('Contenido Curricular'!$C$4:$C$100, 'Contenido Curricular'!$F$4:$F$100=5), 9), "")</f>
        <v/>
      </c>
      <c r="E36" s="20"/>
      <c r="F36" s="20" t="str">
        <f>IFERROR(INDEX(_xlfn.FILTER('Contenido Curricular'!$D$4:$D$100, 'Contenido Curricular'!$F$4:$F$100=5), 9), "")</f>
        <v/>
      </c>
      <c r="G36" s="20"/>
      <c r="H36" s="20"/>
    </row>
    <row r="37" ht="45" customHeight="1" spans="1:8" x14ac:dyDescent="0.25">
      <c r="A37" s="40">
        <v>10</v>
      </c>
      <c r="B37" s="20" t="str">
        <f>IFERROR(INDEX(_xlfn.FILTER('Contenido Curricular'!$B$4:$B$100, 'Contenido Curricular'!$F$4:$F$100=5), 10), "")</f>
        <v/>
      </c>
      <c r="C37" s="20"/>
      <c r="D37" s="20" t="str">
        <f>IFERROR(INDEX(_xlfn.FILTER('Contenido Curricular'!$C$4:$C$100, 'Contenido Curricular'!$F$4:$F$100=5), 10), "")</f>
        <v/>
      </c>
      <c r="E37" s="20"/>
      <c r="F37" s="20" t="str">
        <f>IFERROR(INDEX(_xlfn.FILTER('Contenido Curricular'!$D$4:$D$100, 'Contenido Curricular'!$F$4:$F$100=5),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6</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Curricular'!$F$4:$F$100=6), 1), "")</f>
        <v/>
      </c>
      <c r="C28" s="20"/>
      <c r="D28" s="20" t="str">
        <f>IFERROR(INDEX(_xlfn.FILTER('Contenido Curricular'!$C$4:$C$100, 'Contenido Curricular'!$F$4:$F$100=6), 1), "")</f>
        <v/>
      </c>
      <c r="E28" s="20"/>
      <c r="F28" s="20" t="str">
        <f>IFERROR(INDEX(_xlfn.FILTER('Contenido Curricular'!$D$4:$D$100, 'Contenido Curricular'!$F$4:$F$100=6), 1), "")</f>
        <v/>
      </c>
      <c r="G28" s="20"/>
      <c r="H28" s="20"/>
    </row>
    <row r="29" ht="45" customHeight="1" spans="1:8" x14ac:dyDescent="0.25">
      <c r="A29" s="40">
        <v>2</v>
      </c>
      <c r="B29" s="20" t="str">
        <f>IFERROR(INDEX(_xlfn.FILTER('Contenido Curricular'!$B$4:$B$100, 'Contenido Curricular'!$F$4:$F$100=6), 2), "")</f>
        <v/>
      </c>
      <c r="C29" s="20"/>
      <c r="D29" s="20" t="str">
        <f>IFERROR(INDEX(_xlfn.FILTER('Contenido Curricular'!$C$4:$C$100, 'Contenido Curricular'!$F$4:$F$100=6), 2), "")</f>
        <v/>
      </c>
      <c r="E29" s="20"/>
      <c r="F29" s="20" t="str">
        <f>IFERROR(INDEX(_xlfn.FILTER('Contenido Curricular'!$D$4:$D$100, 'Contenido Curricular'!$F$4:$F$100=6), 2), "")</f>
        <v/>
      </c>
      <c r="G29" s="20"/>
      <c r="H29" s="20"/>
    </row>
    <row r="30" ht="45" customHeight="1" spans="1:8" x14ac:dyDescent="0.25">
      <c r="A30" s="40">
        <v>3</v>
      </c>
      <c r="B30" s="20" t="str">
        <f>IFERROR(INDEX(_xlfn.FILTER('Contenido Curricular'!$B$4:$B$100, 'Contenido Curricular'!$F$4:$F$100=6), 3), "")</f>
        <v/>
      </c>
      <c r="C30" s="20"/>
      <c r="D30" s="20" t="str">
        <f>IFERROR(INDEX(_xlfn.FILTER('Contenido Curricular'!$C$4:$C$100, 'Contenido Curricular'!$F$4:$F$100=6), 3), "")</f>
        <v/>
      </c>
      <c r="E30" s="20"/>
      <c r="F30" s="20" t="str">
        <f>IFERROR(INDEX(_xlfn.FILTER('Contenido Curricular'!$D$4:$D$100, 'Contenido Curricular'!$F$4:$F$100=6), 3), "")</f>
        <v/>
      </c>
      <c r="G30" s="20"/>
      <c r="H30" s="20"/>
    </row>
    <row r="31" ht="45" customHeight="1" spans="1:8" x14ac:dyDescent="0.25">
      <c r="A31" s="40">
        <v>4</v>
      </c>
      <c r="B31" s="20" t="str">
        <f>IFERROR(INDEX(_xlfn.FILTER('Contenido Curricular'!$B$4:$B$100, 'Contenido Curricular'!$F$4:$F$100=6), 4), "")</f>
        <v/>
      </c>
      <c r="C31" s="20"/>
      <c r="D31" s="20" t="str">
        <f>IFERROR(INDEX(_xlfn.FILTER('Contenido Curricular'!$C$4:$C$100, 'Contenido Curricular'!$F$4:$F$100=6), 4), "")</f>
        <v/>
      </c>
      <c r="E31" s="20"/>
      <c r="F31" s="20" t="str">
        <f>IFERROR(INDEX(_xlfn.FILTER('Contenido Curricular'!$D$4:$D$100, 'Contenido Curricular'!$F$4:$F$100=6), 4), "")</f>
        <v/>
      </c>
      <c r="G31" s="20"/>
      <c r="H31" s="20"/>
    </row>
    <row r="32" ht="45" customHeight="1" spans="1:8" x14ac:dyDescent="0.25">
      <c r="A32" s="40">
        <v>5</v>
      </c>
      <c r="B32" s="20" t="str">
        <f>IFERROR(INDEX(_xlfn.FILTER('Contenido Curricular'!$B$4:$B$100, 'Contenido Curricular'!$F$4:$F$100=6), 5), "")</f>
        <v/>
      </c>
      <c r="C32" s="20"/>
      <c r="D32" s="20" t="str">
        <f>IFERROR(INDEX(_xlfn.FILTER('Contenido Curricular'!$C$4:$C$100, 'Contenido Curricular'!$F$4:$F$100=6), 5), "")</f>
        <v/>
      </c>
      <c r="E32" s="20"/>
      <c r="F32" s="20" t="str">
        <f>IFERROR(INDEX(_xlfn.FILTER('Contenido Curricular'!$D$4:$D$100, 'Contenido Curricular'!$F$4:$F$100=6), 5), "")</f>
        <v/>
      </c>
      <c r="G32" s="20"/>
      <c r="H32" s="20"/>
    </row>
    <row r="33" ht="45" customHeight="1" spans="1:8" x14ac:dyDescent="0.25">
      <c r="A33" s="40">
        <v>6</v>
      </c>
      <c r="B33" s="20" t="str">
        <f>IFERROR(INDEX(_xlfn.FILTER('Contenido Curricular'!$B$4:$B$100, 'Contenido Curricular'!$F$4:$F$100=6), 6), "")</f>
        <v/>
      </c>
      <c r="C33" s="20"/>
      <c r="D33" s="20" t="str">
        <f>IFERROR(INDEX(_xlfn.FILTER('Contenido Curricular'!$C$4:$C$100, 'Contenido Curricular'!$F$4:$F$100=6), 6), "")</f>
        <v/>
      </c>
      <c r="E33" s="20"/>
      <c r="F33" s="20" t="str">
        <f>IFERROR(INDEX(_xlfn.FILTER('Contenido Curricular'!$D$4:$D$100, 'Contenido Curricular'!$F$4:$F$100=6), 6), "")</f>
        <v/>
      </c>
      <c r="G33" s="20"/>
      <c r="H33" s="20"/>
    </row>
    <row r="34" ht="45" customHeight="1" spans="1:8" x14ac:dyDescent="0.25">
      <c r="A34" s="40">
        <v>7</v>
      </c>
      <c r="B34" s="20" t="str">
        <f>IFERROR(INDEX(_xlfn.FILTER('Contenido Curricular'!$B$4:$B$100, 'Contenido Curricular'!$F$4:$F$100=6), 7), "")</f>
        <v/>
      </c>
      <c r="C34" s="20"/>
      <c r="D34" s="20" t="str">
        <f>IFERROR(INDEX(_xlfn.FILTER('Contenido Curricular'!$C$4:$C$100, 'Contenido Curricular'!$F$4:$F$100=6), 7), "")</f>
        <v/>
      </c>
      <c r="E34" s="20"/>
      <c r="F34" s="20" t="str">
        <f>IFERROR(INDEX(_xlfn.FILTER('Contenido Curricular'!$D$4:$D$100, 'Contenido Curricular'!$F$4:$F$100=6), 7), "")</f>
        <v/>
      </c>
      <c r="G34" s="20"/>
      <c r="H34" s="20"/>
    </row>
    <row r="35" ht="45" customHeight="1" spans="1:8" x14ac:dyDescent="0.25">
      <c r="A35" s="40">
        <v>8</v>
      </c>
      <c r="B35" s="20" t="str">
        <f>IFERROR(INDEX(_xlfn.FILTER('Contenido Curricular'!$B$4:$B$100, 'Contenido Curricular'!$F$4:$F$100=6), 8), "")</f>
        <v/>
      </c>
      <c r="C35" s="20"/>
      <c r="D35" s="20" t="str">
        <f>IFERROR(INDEX(_xlfn.FILTER('Contenido Curricular'!$C$4:$C$100, 'Contenido Curricular'!$F$4:$F$100=6), 8), "")</f>
        <v/>
      </c>
      <c r="E35" s="20"/>
      <c r="F35" s="20" t="str">
        <f>IFERROR(INDEX(_xlfn.FILTER('Contenido Curricular'!$D$4:$D$100, 'Contenido Curricular'!$F$4:$F$100=6), 8), "")</f>
        <v/>
      </c>
      <c r="G35" s="20"/>
      <c r="H35" s="20"/>
    </row>
    <row r="36" ht="45" customHeight="1" spans="1:8" x14ac:dyDescent="0.25">
      <c r="A36" s="40">
        <v>9</v>
      </c>
      <c r="B36" s="20" t="str">
        <f>IFERROR(INDEX(_xlfn.FILTER('Contenido Curricular'!$B$4:$B$100, 'Contenido Curricular'!$F$4:$F$100=6), 9), "")</f>
        <v/>
      </c>
      <c r="C36" s="20"/>
      <c r="D36" s="20" t="str">
        <f>IFERROR(INDEX(_xlfn.FILTER('Contenido Curricular'!$C$4:$C$100, 'Contenido Curricular'!$F$4:$F$100=6), 9), "")</f>
        <v/>
      </c>
      <c r="E36" s="20"/>
      <c r="F36" s="20" t="str">
        <f>IFERROR(INDEX(_xlfn.FILTER('Contenido Curricular'!$D$4:$D$100, 'Contenido Curricular'!$F$4:$F$100=6), 9), "")</f>
        <v/>
      </c>
      <c r="G36" s="20"/>
      <c r="H36" s="20"/>
    </row>
    <row r="37" ht="45" customHeight="1" spans="1:8" x14ac:dyDescent="0.25">
      <c r="A37" s="40">
        <v>10</v>
      </c>
      <c r="B37" s="20" t="str">
        <f>IFERROR(INDEX(_xlfn.FILTER('Contenido Curricular'!$B$4:$B$100, 'Contenido Curricular'!$F$4:$F$100=6), 10), "")</f>
        <v/>
      </c>
      <c r="C37" s="20"/>
      <c r="D37" s="20" t="str">
        <f>IFERROR(INDEX(_xlfn.FILTER('Contenido Curricular'!$C$4:$C$100, 'Contenido Curricular'!$F$4:$F$100=6), 10), "")</f>
        <v/>
      </c>
      <c r="E37" s="20"/>
      <c r="F37" s="20" t="str">
        <f>IFERROR(INDEX(_xlfn.FILTER('Contenido Curricular'!$D$4:$D$100, 'Contenido Curricular'!$F$4:$F$100=6),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7</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Curricular'!$F$4:$F$100=7), 1), "")</f>
        <v/>
      </c>
      <c r="C28" s="20"/>
      <c r="D28" s="20" t="str">
        <f>IFERROR(INDEX(_xlfn.FILTER('Contenido Curricular'!$C$4:$C$100, 'Contenido Curricular'!$F$4:$F$100=7), 1), "")</f>
        <v/>
      </c>
      <c r="E28" s="20"/>
      <c r="F28" s="20" t="str">
        <f>IFERROR(INDEX(_xlfn.FILTER('Contenido Curricular'!$D$4:$D$100, 'Contenido Curricular'!$F$4:$F$100=7), 1), "")</f>
        <v/>
      </c>
      <c r="G28" s="20"/>
      <c r="H28" s="20"/>
    </row>
    <row r="29" ht="45" customHeight="1" spans="1:8" x14ac:dyDescent="0.25">
      <c r="A29" s="40">
        <v>2</v>
      </c>
      <c r="B29" s="20" t="str">
        <f>IFERROR(INDEX(_xlfn.FILTER('Contenido Curricular'!$B$4:$B$100, 'Contenido Curricular'!$F$4:$F$100=7), 2), "")</f>
        <v/>
      </c>
      <c r="C29" s="20"/>
      <c r="D29" s="20" t="str">
        <f>IFERROR(INDEX(_xlfn.FILTER('Contenido Curricular'!$C$4:$C$100, 'Contenido Curricular'!$F$4:$F$100=7), 2), "")</f>
        <v/>
      </c>
      <c r="E29" s="20"/>
      <c r="F29" s="20" t="str">
        <f>IFERROR(INDEX(_xlfn.FILTER('Contenido Curricular'!$D$4:$D$100, 'Contenido Curricular'!$F$4:$F$100=7), 2), "")</f>
        <v/>
      </c>
      <c r="G29" s="20"/>
      <c r="H29" s="20"/>
    </row>
    <row r="30" ht="45" customHeight="1" spans="1:8" x14ac:dyDescent="0.25">
      <c r="A30" s="40">
        <v>3</v>
      </c>
      <c r="B30" s="20" t="str">
        <f>IFERROR(INDEX(_xlfn.FILTER('Contenido Curricular'!$B$4:$B$100, 'Contenido Curricular'!$F$4:$F$100=7), 3), "")</f>
        <v/>
      </c>
      <c r="C30" s="20"/>
      <c r="D30" s="20" t="str">
        <f>IFERROR(INDEX(_xlfn.FILTER('Contenido Curricular'!$C$4:$C$100, 'Contenido Curricular'!$F$4:$F$100=7), 3), "")</f>
        <v/>
      </c>
      <c r="E30" s="20"/>
      <c r="F30" s="20" t="str">
        <f>IFERROR(INDEX(_xlfn.FILTER('Contenido Curricular'!$D$4:$D$100, 'Contenido Curricular'!$F$4:$F$100=7), 3), "")</f>
        <v/>
      </c>
      <c r="G30" s="20"/>
      <c r="H30" s="20"/>
    </row>
    <row r="31" ht="45" customHeight="1" spans="1:8" x14ac:dyDescent="0.25">
      <c r="A31" s="40">
        <v>4</v>
      </c>
      <c r="B31" s="20" t="str">
        <f>IFERROR(INDEX(_xlfn.FILTER('Contenido Curricular'!$B$4:$B$100, 'Contenido Curricular'!$F$4:$F$100=7), 4), "")</f>
        <v/>
      </c>
      <c r="C31" s="20"/>
      <c r="D31" s="20" t="str">
        <f>IFERROR(INDEX(_xlfn.FILTER('Contenido Curricular'!$C$4:$C$100, 'Contenido Curricular'!$F$4:$F$100=7), 4), "")</f>
        <v/>
      </c>
      <c r="E31" s="20"/>
      <c r="F31" s="20" t="str">
        <f>IFERROR(INDEX(_xlfn.FILTER('Contenido Curricular'!$D$4:$D$100, 'Contenido Curricular'!$F$4:$F$100=7), 4), "")</f>
        <v/>
      </c>
      <c r="G31" s="20"/>
      <c r="H31" s="20"/>
    </row>
    <row r="32" ht="45" customHeight="1" spans="1:8" x14ac:dyDescent="0.25">
      <c r="A32" s="40">
        <v>5</v>
      </c>
      <c r="B32" s="20" t="str">
        <f>IFERROR(INDEX(_xlfn.FILTER('Contenido Curricular'!$B$4:$B$100, 'Contenido Curricular'!$F$4:$F$100=7), 5), "")</f>
        <v/>
      </c>
      <c r="C32" s="20"/>
      <c r="D32" s="20" t="str">
        <f>IFERROR(INDEX(_xlfn.FILTER('Contenido Curricular'!$C$4:$C$100, 'Contenido Curricular'!$F$4:$F$100=7), 5), "")</f>
        <v/>
      </c>
      <c r="E32" s="20"/>
      <c r="F32" s="20" t="str">
        <f>IFERROR(INDEX(_xlfn.FILTER('Contenido Curricular'!$D$4:$D$100, 'Contenido Curricular'!$F$4:$F$100=7), 5), "")</f>
        <v/>
      </c>
      <c r="G32" s="20"/>
      <c r="H32" s="20"/>
    </row>
    <row r="33" ht="45" customHeight="1" spans="1:8" x14ac:dyDescent="0.25">
      <c r="A33" s="40">
        <v>6</v>
      </c>
      <c r="B33" s="20" t="str">
        <f>IFERROR(INDEX(_xlfn.FILTER('Contenido Curricular'!$B$4:$B$100, 'Contenido Curricular'!$F$4:$F$100=7), 6), "")</f>
        <v/>
      </c>
      <c r="C33" s="20"/>
      <c r="D33" s="20" t="str">
        <f>IFERROR(INDEX(_xlfn.FILTER('Contenido Curricular'!$C$4:$C$100, 'Contenido Curricular'!$F$4:$F$100=7), 6), "")</f>
        <v/>
      </c>
      <c r="E33" s="20"/>
      <c r="F33" s="20" t="str">
        <f>IFERROR(INDEX(_xlfn.FILTER('Contenido Curricular'!$D$4:$D$100, 'Contenido Curricular'!$F$4:$F$100=7), 6), "")</f>
        <v/>
      </c>
      <c r="G33" s="20"/>
      <c r="H33" s="20"/>
    </row>
    <row r="34" ht="45" customHeight="1" spans="1:8" x14ac:dyDescent="0.25">
      <c r="A34" s="40">
        <v>7</v>
      </c>
      <c r="B34" s="20" t="str">
        <f>IFERROR(INDEX(_xlfn.FILTER('Contenido Curricular'!$B$4:$B$100, 'Contenido Curricular'!$F$4:$F$100=7), 7), "")</f>
        <v/>
      </c>
      <c r="C34" s="20"/>
      <c r="D34" s="20" t="str">
        <f>IFERROR(INDEX(_xlfn.FILTER('Contenido Curricular'!$C$4:$C$100, 'Contenido Curricular'!$F$4:$F$100=7), 7), "")</f>
        <v/>
      </c>
      <c r="E34" s="20"/>
      <c r="F34" s="20" t="str">
        <f>IFERROR(INDEX(_xlfn.FILTER('Contenido Curricular'!$D$4:$D$100, 'Contenido Curricular'!$F$4:$F$100=7), 7), "")</f>
        <v/>
      </c>
      <c r="G34" s="20"/>
      <c r="H34" s="20"/>
    </row>
    <row r="35" ht="45" customHeight="1" spans="1:8" x14ac:dyDescent="0.25">
      <c r="A35" s="40">
        <v>8</v>
      </c>
      <c r="B35" s="20" t="str">
        <f>IFERROR(INDEX(_xlfn.FILTER('Contenido Curricular'!$B$4:$B$100, 'Contenido Curricular'!$F$4:$F$100=7), 8), "")</f>
        <v/>
      </c>
      <c r="C35" s="20"/>
      <c r="D35" s="20" t="str">
        <f>IFERROR(INDEX(_xlfn.FILTER('Contenido Curricular'!$C$4:$C$100, 'Contenido Curricular'!$F$4:$F$100=7), 8), "")</f>
        <v/>
      </c>
      <c r="E35" s="20"/>
      <c r="F35" s="20" t="str">
        <f>IFERROR(INDEX(_xlfn.FILTER('Contenido Curricular'!$D$4:$D$100, 'Contenido Curricular'!$F$4:$F$100=7), 8), "")</f>
        <v/>
      </c>
      <c r="G35" s="20"/>
      <c r="H35" s="20"/>
    </row>
    <row r="36" ht="45" customHeight="1" spans="1:8" x14ac:dyDescent="0.25">
      <c r="A36" s="40">
        <v>9</v>
      </c>
      <c r="B36" s="20" t="str">
        <f>IFERROR(INDEX(_xlfn.FILTER('Contenido Curricular'!$B$4:$B$100, 'Contenido Curricular'!$F$4:$F$100=7), 9), "")</f>
        <v/>
      </c>
      <c r="C36" s="20"/>
      <c r="D36" s="20" t="str">
        <f>IFERROR(INDEX(_xlfn.FILTER('Contenido Curricular'!$C$4:$C$100, 'Contenido Curricular'!$F$4:$F$100=7), 9), "")</f>
        <v/>
      </c>
      <c r="E36" s="20"/>
      <c r="F36" s="20" t="str">
        <f>IFERROR(INDEX(_xlfn.FILTER('Contenido Curricular'!$D$4:$D$100, 'Contenido Curricular'!$F$4:$F$100=7), 9), "")</f>
        <v/>
      </c>
      <c r="G36" s="20"/>
      <c r="H36" s="20"/>
    </row>
    <row r="37" ht="45" customHeight="1" spans="1:8" x14ac:dyDescent="0.25">
      <c r="A37" s="40">
        <v>10</v>
      </c>
      <c r="B37" s="20" t="str">
        <f>IFERROR(INDEX(_xlfn.FILTER('Contenido Curricular'!$B$4:$B$100, 'Contenido Curricular'!$F$4:$F$100=7), 10), "")</f>
        <v/>
      </c>
      <c r="C37" s="20"/>
      <c r="D37" s="20" t="str">
        <f>IFERROR(INDEX(_xlfn.FILTER('Contenido Curricular'!$C$4:$C$100, 'Contenido Curricular'!$F$4:$F$100=7), 10), "")</f>
        <v/>
      </c>
      <c r="E37" s="20"/>
      <c r="F37" s="20" t="str">
        <f>IFERROR(INDEX(_xlfn.FILTER('Contenido Curricular'!$D$4:$D$100, 'Contenido Curricular'!$F$4:$F$100=7),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8</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Curricular'!$F$4:$F$100=8), 1), "")</f>
        <v/>
      </c>
      <c r="C28" s="20"/>
      <c r="D28" s="20" t="str">
        <f>IFERROR(INDEX(_xlfn.FILTER('Contenido Curricular'!$C$4:$C$100, 'Contenido Curricular'!$F$4:$F$100=8), 1), "")</f>
        <v/>
      </c>
      <c r="E28" s="20"/>
      <c r="F28" s="20" t="str">
        <f>IFERROR(INDEX(_xlfn.FILTER('Contenido Curricular'!$D$4:$D$100, 'Contenido Curricular'!$F$4:$F$100=8), 1), "")</f>
        <v/>
      </c>
      <c r="G28" s="20"/>
      <c r="H28" s="20"/>
    </row>
    <row r="29" ht="45" customHeight="1" spans="1:8" x14ac:dyDescent="0.25">
      <c r="A29" s="40">
        <v>2</v>
      </c>
      <c r="B29" s="20" t="str">
        <f>IFERROR(INDEX(_xlfn.FILTER('Contenido Curricular'!$B$4:$B$100, 'Contenido Curricular'!$F$4:$F$100=8), 2), "")</f>
        <v/>
      </c>
      <c r="C29" s="20"/>
      <c r="D29" s="20" t="str">
        <f>IFERROR(INDEX(_xlfn.FILTER('Contenido Curricular'!$C$4:$C$100, 'Contenido Curricular'!$F$4:$F$100=8), 2), "")</f>
        <v/>
      </c>
      <c r="E29" s="20"/>
      <c r="F29" s="20" t="str">
        <f>IFERROR(INDEX(_xlfn.FILTER('Contenido Curricular'!$D$4:$D$100, 'Contenido Curricular'!$F$4:$F$100=8), 2), "")</f>
        <v/>
      </c>
      <c r="G29" s="20"/>
      <c r="H29" s="20"/>
    </row>
    <row r="30" ht="45" customHeight="1" spans="1:8" x14ac:dyDescent="0.25">
      <c r="A30" s="40">
        <v>3</v>
      </c>
      <c r="B30" s="20" t="str">
        <f>IFERROR(INDEX(_xlfn.FILTER('Contenido Curricular'!$B$4:$B$100, 'Contenido Curricular'!$F$4:$F$100=8), 3), "")</f>
        <v/>
      </c>
      <c r="C30" s="20"/>
      <c r="D30" s="20" t="str">
        <f>IFERROR(INDEX(_xlfn.FILTER('Contenido Curricular'!$C$4:$C$100, 'Contenido Curricular'!$F$4:$F$100=8), 3), "")</f>
        <v/>
      </c>
      <c r="E30" s="20"/>
      <c r="F30" s="20" t="str">
        <f>IFERROR(INDEX(_xlfn.FILTER('Contenido Curricular'!$D$4:$D$100, 'Contenido Curricular'!$F$4:$F$100=8), 3), "")</f>
        <v/>
      </c>
      <c r="G30" s="20"/>
      <c r="H30" s="20"/>
    </row>
    <row r="31" ht="45" customHeight="1" spans="1:8" x14ac:dyDescent="0.25">
      <c r="A31" s="40">
        <v>4</v>
      </c>
      <c r="B31" s="20" t="str">
        <f>IFERROR(INDEX(_xlfn.FILTER('Contenido Curricular'!$B$4:$B$100, 'Contenido Curricular'!$F$4:$F$100=8), 4), "")</f>
        <v/>
      </c>
      <c r="C31" s="20"/>
      <c r="D31" s="20" t="str">
        <f>IFERROR(INDEX(_xlfn.FILTER('Contenido Curricular'!$C$4:$C$100, 'Contenido Curricular'!$F$4:$F$100=8), 4), "")</f>
        <v/>
      </c>
      <c r="E31" s="20"/>
      <c r="F31" s="20" t="str">
        <f>IFERROR(INDEX(_xlfn.FILTER('Contenido Curricular'!$D$4:$D$100, 'Contenido Curricular'!$F$4:$F$100=8), 4), "")</f>
        <v/>
      </c>
      <c r="G31" s="20"/>
      <c r="H31" s="20"/>
    </row>
    <row r="32" ht="45" customHeight="1" spans="1:8" x14ac:dyDescent="0.25">
      <c r="A32" s="40">
        <v>5</v>
      </c>
      <c r="B32" s="20" t="str">
        <f>IFERROR(INDEX(_xlfn.FILTER('Contenido Curricular'!$B$4:$B$100, 'Contenido Curricular'!$F$4:$F$100=8), 5), "")</f>
        <v/>
      </c>
      <c r="C32" s="20"/>
      <c r="D32" s="20" t="str">
        <f>IFERROR(INDEX(_xlfn.FILTER('Contenido Curricular'!$C$4:$C$100, 'Contenido Curricular'!$F$4:$F$100=8), 5), "")</f>
        <v/>
      </c>
      <c r="E32" s="20"/>
      <c r="F32" s="20" t="str">
        <f>IFERROR(INDEX(_xlfn.FILTER('Contenido Curricular'!$D$4:$D$100, 'Contenido Curricular'!$F$4:$F$100=8), 5), "")</f>
        <v/>
      </c>
      <c r="G32" s="20"/>
      <c r="H32" s="20"/>
    </row>
    <row r="33" ht="45" customHeight="1" spans="1:8" x14ac:dyDescent="0.25">
      <c r="A33" s="40">
        <v>6</v>
      </c>
      <c r="B33" s="20" t="str">
        <f>IFERROR(INDEX(_xlfn.FILTER('Contenido Curricular'!$B$4:$B$100, 'Contenido Curricular'!$F$4:$F$100=8), 6), "")</f>
        <v/>
      </c>
      <c r="C33" s="20"/>
      <c r="D33" s="20" t="str">
        <f>IFERROR(INDEX(_xlfn.FILTER('Contenido Curricular'!$C$4:$C$100, 'Contenido Curricular'!$F$4:$F$100=8), 6), "")</f>
        <v/>
      </c>
      <c r="E33" s="20"/>
      <c r="F33" s="20" t="str">
        <f>IFERROR(INDEX(_xlfn.FILTER('Contenido Curricular'!$D$4:$D$100, 'Contenido Curricular'!$F$4:$F$100=8), 6), "")</f>
        <v/>
      </c>
      <c r="G33" s="20"/>
      <c r="H33" s="20"/>
    </row>
    <row r="34" ht="45" customHeight="1" spans="1:8" x14ac:dyDescent="0.25">
      <c r="A34" s="40">
        <v>7</v>
      </c>
      <c r="B34" s="20" t="str">
        <f>IFERROR(INDEX(_xlfn.FILTER('Contenido Curricular'!$B$4:$B$100, 'Contenido Curricular'!$F$4:$F$100=8), 7), "")</f>
        <v/>
      </c>
      <c r="C34" s="20"/>
      <c r="D34" s="20" t="str">
        <f>IFERROR(INDEX(_xlfn.FILTER('Contenido Curricular'!$C$4:$C$100, 'Contenido Curricular'!$F$4:$F$100=8), 7), "")</f>
        <v/>
      </c>
      <c r="E34" s="20"/>
      <c r="F34" s="20" t="str">
        <f>IFERROR(INDEX(_xlfn.FILTER('Contenido Curricular'!$D$4:$D$100, 'Contenido Curricular'!$F$4:$F$100=8), 7), "")</f>
        <v/>
      </c>
      <c r="G34" s="20"/>
      <c r="H34" s="20"/>
    </row>
    <row r="35" ht="45" customHeight="1" spans="1:8" x14ac:dyDescent="0.25">
      <c r="A35" s="40">
        <v>8</v>
      </c>
      <c r="B35" s="20" t="str">
        <f>IFERROR(INDEX(_xlfn.FILTER('Contenido Curricular'!$B$4:$B$100, 'Contenido Curricular'!$F$4:$F$100=8), 8), "")</f>
        <v/>
      </c>
      <c r="C35" s="20"/>
      <c r="D35" s="20" t="str">
        <f>IFERROR(INDEX(_xlfn.FILTER('Contenido Curricular'!$C$4:$C$100, 'Contenido Curricular'!$F$4:$F$100=8), 8), "")</f>
        <v/>
      </c>
      <c r="E35" s="20"/>
      <c r="F35" s="20" t="str">
        <f>IFERROR(INDEX(_xlfn.FILTER('Contenido Curricular'!$D$4:$D$100, 'Contenido Curricular'!$F$4:$F$100=8), 8), "")</f>
        <v/>
      </c>
      <c r="G35" s="20"/>
      <c r="H35" s="20"/>
    </row>
    <row r="36" ht="45" customHeight="1" spans="1:8" x14ac:dyDescent="0.25">
      <c r="A36" s="40">
        <v>9</v>
      </c>
      <c r="B36" s="20" t="str">
        <f>IFERROR(INDEX(_xlfn.FILTER('Contenido Curricular'!$B$4:$B$100, 'Contenido Curricular'!$F$4:$F$100=8), 9), "")</f>
        <v/>
      </c>
      <c r="C36" s="20"/>
      <c r="D36" s="20" t="str">
        <f>IFERROR(INDEX(_xlfn.FILTER('Contenido Curricular'!$C$4:$C$100, 'Contenido Curricular'!$F$4:$F$100=8), 9), "")</f>
        <v/>
      </c>
      <c r="E36" s="20"/>
      <c r="F36" s="20" t="str">
        <f>IFERROR(INDEX(_xlfn.FILTER('Contenido Curricular'!$D$4:$D$100, 'Contenido Curricular'!$F$4:$F$100=8), 9), "")</f>
        <v/>
      </c>
      <c r="G36" s="20"/>
      <c r="H36" s="20"/>
    </row>
    <row r="37" ht="45" customHeight="1" spans="1:8" x14ac:dyDescent="0.25">
      <c r="A37" s="40">
        <v>10</v>
      </c>
      <c r="B37" s="20" t="str">
        <f>IFERROR(INDEX(_xlfn.FILTER('Contenido Curricular'!$B$4:$B$100, 'Contenido Curricular'!$F$4:$F$100=8), 10), "")</f>
        <v/>
      </c>
      <c r="C37" s="20"/>
      <c r="D37" s="20" t="str">
        <f>IFERROR(INDEX(_xlfn.FILTER('Contenido Curricular'!$C$4:$C$100, 'Contenido Curricular'!$F$4:$F$100=8), 10), "")</f>
        <v/>
      </c>
      <c r="E37" s="20"/>
      <c r="F37" s="20" t="str">
        <f>IFERROR(INDEX(_xlfn.FILTER('Contenido Curricular'!$D$4:$D$100, 'Contenido Curricular'!$F$4:$F$100=8),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9</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Curricular'!$F$4:$F$100=9), 1), "")</f>
        <v/>
      </c>
      <c r="C28" s="20"/>
      <c r="D28" s="20" t="str">
        <f>IFERROR(INDEX(_xlfn.FILTER('Contenido Curricular'!$C$4:$C$100, 'Contenido Curricular'!$F$4:$F$100=9), 1), "")</f>
        <v/>
      </c>
      <c r="E28" s="20"/>
      <c r="F28" s="20" t="str">
        <f>IFERROR(INDEX(_xlfn.FILTER('Contenido Curricular'!$D$4:$D$100, 'Contenido Curricular'!$F$4:$F$100=9), 1), "")</f>
        <v/>
      </c>
      <c r="G28" s="20"/>
      <c r="H28" s="20"/>
    </row>
    <row r="29" ht="45" customHeight="1" spans="1:8" x14ac:dyDescent="0.25">
      <c r="A29" s="40">
        <v>2</v>
      </c>
      <c r="B29" s="20" t="str">
        <f>IFERROR(INDEX(_xlfn.FILTER('Contenido Curricular'!$B$4:$B$100, 'Contenido Curricular'!$F$4:$F$100=9), 2), "")</f>
        <v/>
      </c>
      <c r="C29" s="20"/>
      <c r="D29" s="20" t="str">
        <f>IFERROR(INDEX(_xlfn.FILTER('Contenido Curricular'!$C$4:$C$100, 'Contenido Curricular'!$F$4:$F$100=9), 2), "")</f>
        <v/>
      </c>
      <c r="E29" s="20"/>
      <c r="F29" s="20" t="str">
        <f>IFERROR(INDEX(_xlfn.FILTER('Contenido Curricular'!$D$4:$D$100, 'Contenido Curricular'!$F$4:$F$100=9), 2), "")</f>
        <v/>
      </c>
      <c r="G29" s="20"/>
      <c r="H29" s="20"/>
    </row>
    <row r="30" ht="45" customHeight="1" spans="1:8" x14ac:dyDescent="0.25">
      <c r="A30" s="40">
        <v>3</v>
      </c>
      <c r="B30" s="20" t="str">
        <f>IFERROR(INDEX(_xlfn.FILTER('Contenido Curricular'!$B$4:$B$100, 'Contenido Curricular'!$F$4:$F$100=9), 3), "")</f>
        <v/>
      </c>
      <c r="C30" s="20"/>
      <c r="D30" s="20" t="str">
        <f>IFERROR(INDEX(_xlfn.FILTER('Contenido Curricular'!$C$4:$C$100, 'Contenido Curricular'!$F$4:$F$100=9), 3), "")</f>
        <v/>
      </c>
      <c r="E30" s="20"/>
      <c r="F30" s="20" t="str">
        <f>IFERROR(INDEX(_xlfn.FILTER('Contenido Curricular'!$D$4:$D$100, 'Contenido Curricular'!$F$4:$F$100=9), 3), "")</f>
        <v/>
      </c>
      <c r="G30" s="20"/>
      <c r="H30" s="20"/>
    </row>
    <row r="31" ht="45" customHeight="1" spans="1:8" x14ac:dyDescent="0.25">
      <c r="A31" s="40">
        <v>4</v>
      </c>
      <c r="B31" s="20" t="str">
        <f>IFERROR(INDEX(_xlfn.FILTER('Contenido Curricular'!$B$4:$B$100, 'Contenido Curricular'!$F$4:$F$100=9), 4), "")</f>
        <v/>
      </c>
      <c r="C31" s="20"/>
      <c r="D31" s="20" t="str">
        <f>IFERROR(INDEX(_xlfn.FILTER('Contenido Curricular'!$C$4:$C$100, 'Contenido Curricular'!$F$4:$F$100=9), 4), "")</f>
        <v/>
      </c>
      <c r="E31" s="20"/>
      <c r="F31" s="20" t="str">
        <f>IFERROR(INDEX(_xlfn.FILTER('Contenido Curricular'!$D$4:$D$100, 'Contenido Curricular'!$F$4:$F$100=9), 4), "")</f>
        <v/>
      </c>
      <c r="G31" s="20"/>
      <c r="H31" s="20"/>
    </row>
    <row r="32" ht="45" customHeight="1" spans="1:8" x14ac:dyDescent="0.25">
      <c r="A32" s="40">
        <v>5</v>
      </c>
      <c r="B32" s="20" t="str">
        <f>IFERROR(INDEX(_xlfn.FILTER('Contenido Curricular'!$B$4:$B$100, 'Contenido Curricular'!$F$4:$F$100=9), 5), "")</f>
        <v/>
      </c>
      <c r="C32" s="20"/>
      <c r="D32" s="20" t="str">
        <f>IFERROR(INDEX(_xlfn.FILTER('Contenido Curricular'!$C$4:$C$100, 'Contenido Curricular'!$F$4:$F$100=9), 5), "")</f>
        <v/>
      </c>
      <c r="E32" s="20"/>
      <c r="F32" s="20" t="str">
        <f>IFERROR(INDEX(_xlfn.FILTER('Contenido Curricular'!$D$4:$D$100, 'Contenido Curricular'!$F$4:$F$100=9), 5), "")</f>
        <v/>
      </c>
      <c r="G32" s="20"/>
      <c r="H32" s="20"/>
    </row>
    <row r="33" ht="45" customHeight="1" spans="1:8" x14ac:dyDescent="0.25">
      <c r="A33" s="40">
        <v>6</v>
      </c>
      <c r="B33" s="20" t="str">
        <f>IFERROR(INDEX(_xlfn.FILTER('Contenido Curricular'!$B$4:$B$100, 'Contenido Curricular'!$F$4:$F$100=9), 6), "")</f>
        <v/>
      </c>
      <c r="C33" s="20"/>
      <c r="D33" s="20" t="str">
        <f>IFERROR(INDEX(_xlfn.FILTER('Contenido Curricular'!$C$4:$C$100, 'Contenido Curricular'!$F$4:$F$100=9), 6), "")</f>
        <v/>
      </c>
      <c r="E33" s="20"/>
      <c r="F33" s="20" t="str">
        <f>IFERROR(INDEX(_xlfn.FILTER('Contenido Curricular'!$D$4:$D$100, 'Contenido Curricular'!$F$4:$F$100=9), 6), "")</f>
        <v/>
      </c>
      <c r="G33" s="20"/>
      <c r="H33" s="20"/>
    </row>
    <row r="34" ht="45" customHeight="1" spans="1:8" x14ac:dyDescent="0.25">
      <c r="A34" s="40">
        <v>7</v>
      </c>
      <c r="B34" s="20" t="str">
        <f>IFERROR(INDEX(_xlfn.FILTER('Contenido Curricular'!$B$4:$B$100, 'Contenido Curricular'!$F$4:$F$100=9), 7), "")</f>
        <v/>
      </c>
      <c r="C34" s="20"/>
      <c r="D34" s="20" t="str">
        <f>IFERROR(INDEX(_xlfn.FILTER('Contenido Curricular'!$C$4:$C$100, 'Contenido Curricular'!$F$4:$F$100=9), 7), "")</f>
        <v/>
      </c>
      <c r="E34" s="20"/>
      <c r="F34" s="20" t="str">
        <f>IFERROR(INDEX(_xlfn.FILTER('Contenido Curricular'!$D$4:$D$100, 'Contenido Curricular'!$F$4:$F$100=9), 7), "")</f>
        <v/>
      </c>
      <c r="G34" s="20"/>
      <c r="H34" s="20"/>
    </row>
    <row r="35" ht="45" customHeight="1" spans="1:8" x14ac:dyDescent="0.25">
      <c r="A35" s="40">
        <v>8</v>
      </c>
      <c r="B35" s="20" t="str">
        <f>IFERROR(INDEX(_xlfn.FILTER('Contenido Curricular'!$B$4:$B$100, 'Contenido Curricular'!$F$4:$F$100=9), 8), "")</f>
        <v/>
      </c>
      <c r="C35" s="20"/>
      <c r="D35" s="20" t="str">
        <f>IFERROR(INDEX(_xlfn.FILTER('Contenido Curricular'!$C$4:$C$100, 'Contenido Curricular'!$F$4:$F$100=9), 8), "")</f>
        <v/>
      </c>
      <c r="E35" s="20"/>
      <c r="F35" s="20" t="str">
        <f>IFERROR(INDEX(_xlfn.FILTER('Contenido Curricular'!$D$4:$D$100, 'Contenido Curricular'!$F$4:$F$100=9), 8), "")</f>
        <v/>
      </c>
      <c r="G35" s="20"/>
      <c r="H35" s="20"/>
    </row>
    <row r="36" ht="45" customHeight="1" spans="1:8" x14ac:dyDescent="0.25">
      <c r="A36" s="40">
        <v>9</v>
      </c>
      <c r="B36" s="20" t="str">
        <f>IFERROR(INDEX(_xlfn.FILTER('Contenido Curricular'!$B$4:$B$100, 'Contenido Curricular'!$F$4:$F$100=9), 9), "")</f>
        <v/>
      </c>
      <c r="C36" s="20"/>
      <c r="D36" s="20" t="str">
        <f>IFERROR(INDEX(_xlfn.FILTER('Contenido Curricular'!$C$4:$C$100, 'Contenido Curricular'!$F$4:$F$100=9), 9), "")</f>
        <v/>
      </c>
      <c r="E36" s="20"/>
      <c r="F36" s="20" t="str">
        <f>IFERROR(INDEX(_xlfn.FILTER('Contenido Curricular'!$D$4:$D$100, 'Contenido Curricular'!$F$4:$F$100=9), 9), "")</f>
        <v/>
      </c>
      <c r="G36" s="20"/>
      <c r="H36" s="20"/>
    </row>
    <row r="37" ht="45" customHeight="1" spans="1:8" x14ac:dyDescent="0.25">
      <c r="A37" s="40">
        <v>10</v>
      </c>
      <c r="B37" s="20" t="str">
        <f>IFERROR(INDEX(_xlfn.FILTER('Contenido Curricular'!$B$4:$B$100, 'Contenido Curricular'!$F$4:$F$100=9), 10), "")</f>
        <v/>
      </c>
      <c r="C37" s="20"/>
      <c r="D37" s="20" t="str">
        <f>IFERROR(INDEX(_xlfn.FILTER('Contenido Curricular'!$C$4:$C$100, 'Contenido Curricular'!$F$4:$F$100=9), 10), "")</f>
        <v/>
      </c>
      <c r="E37" s="20"/>
      <c r="F37" s="20" t="str">
        <f>IFERROR(INDEX(_xlfn.FILTER('Contenido Curricular'!$D$4:$D$100, 'Contenido Curricular'!$F$4:$F$100=9),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10</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Curricular'!$F$4:$F$100=10), 1), "")</f>
        <v/>
      </c>
      <c r="C28" s="20"/>
      <c r="D28" s="20" t="str">
        <f>IFERROR(INDEX(_xlfn.FILTER('Contenido Curricular'!$C$4:$C$100, 'Contenido Curricular'!$F$4:$F$100=10), 1), "")</f>
        <v/>
      </c>
      <c r="E28" s="20"/>
      <c r="F28" s="20" t="str">
        <f>IFERROR(INDEX(_xlfn.FILTER('Contenido Curricular'!$D$4:$D$100, 'Contenido Curricular'!$F$4:$F$100=10), 1), "")</f>
        <v/>
      </c>
      <c r="G28" s="20"/>
      <c r="H28" s="20"/>
    </row>
    <row r="29" ht="45" customHeight="1" spans="1:8" x14ac:dyDescent="0.25">
      <c r="A29" s="40">
        <v>2</v>
      </c>
      <c r="B29" s="20" t="str">
        <f>IFERROR(INDEX(_xlfn.FILTER('Contenido Curricular'!$B$4:$B$100, 'Contenido Curricular'!$F$4:$F$100=10), 2), "")</f>
        <v/>
      </c>
      <c r="C29" s="20"/>
      <c r="D29" s="20" t="str">
        <f>IFERROR(INDEX(_xlfn.FILTER('Contenido Curricular'!$C$4:$C$100, 'Contenido Curricular'!$F$4:$F$100=10), 2), "")</f>
        <v/>
      </c>
      <c r="E29" s="20"/>
      <c r="F29" s="20" t="str">
        <f>IFERROR(INDEX(_xlfn.FILTER('Contenido Curricular'!$D$4:$D$100, 'Contenido Curricular'!$F$4:$F$100=10), 2), "")</f>
        <v/>
      </c>
      <c r="G29" s="20"/>
      <c r="H29" s="20"/>
    </row>
    <row r="30" ht="45" customHeight="1" spans="1:8" x14ac:dyDescent="0.25">
      <c r="A30" s="40">
        <v>3</v>
      </c>
      <c r="B30" s="20" t="str">
        <f>IFERROR(INDEX(_xlfn.FILTER('Contenido Curricular'!$B$4:$B$100, 'Contenido Curricular'!$F$4:$F$100=10), 3), "")</f>
        <v/>
      </c>
      <c r="C30" s="20"/>
      <c r="D30" s="20" t="str">
        <f>IFERROR(INDEX(_xlfn.FILTER('Contenido Curricular'!$C$4:$C$100, 'Contenido Curricular'!$F$4:$F$100=10), 3), "")</f>
        <v/>
      </c>
      <c r="E30" s="20"/>
      <c r="F30" s="20" t="str">
        <f>IFERROR(INDEX(_xlfn.FILTER('Contenido Curricular'!$D$4:$D$100, 'Contenido Curricular'!$F$4:$F$100=10), 3), "")</f>
        <v/>
      </c>
      <c r="G30" s="20"/>
      <c r="H30" s="20"/>
    </row>
    <row r="31" ht="45" customHeight="1" spans="1:8" x14ac:dyDescent="0.25">
      <c r="A31" s="40">
        <v>4</v>
      </c>
      <c r="B31" s="20" t="str">
        <f>IFERROR(INDEX(_xlfn.FILTER('Contenido Curricular'!$B$4:$B$100, 'Contenido Curricular'!$F$4:$F$100=10), 4), "")</f>
        <v/>
      </c>
      <c r="C31" s="20"/>
      <c r="D31" s="20" t="str">
        <f>IFERROR(INDEX(_xlfn.FILTER('Contenido Curricular'!$C$4:$C$100, 'Contenido Curricular'!$F$4:$F$100=10), 4), "")</f>
        <v/>
      </c>
      <c r="E31" s="20"/>
      <c r="F31" s="20" t="str">
        <f>IFERROR(INDEX(_xlfn.FILTER('Contenido Curricular'!$D$4:$D$100, 'Contenido Curricular'!$F$4:$F$100=10), 4), "")</f>
        <v/>
      </c>
      <c r="G31" s="20"/>
      <c r="H31" s="20"/>
    </row>
    <row r="32" ht="45" customHeight="1" spans="1:8" x14ac:dyDescent="0.25">
      <c r="A32" s="40">
        <v>5</v>
      </c>
      <c r="B32" s="20" t="str">
        <f>IFERROR(INDEX(_xlfn.FILTER('Contenido Curricular'!$B$4:$B$100, 'Contenido Curricular'!$F$4:$F$100=10), 5), "")</f>
        <v/>
      </c>
      <c r="C32" s="20"/>
      <c r="D32" s="20" t="str">
        <f>IFERROR(INDEX(_xlfn.FILTER('Contenido Curricular'!$C$4:$C$100, 'Contenido Curricular'!$F$4:$F$100=10), 5), "")</f>
        <v/>
      </c>
      <c r="E32" s="20"/>
      <c r="F32" s="20" t="str">
        <f>IFERROR(INDEX(_xlfn.FILTER('Contenido Curricular'!$D$4:$D$100, 'Contenido Curricular'!$F$4:$F$100=10), 5), "")</f>
        <v/>
      </c>
      <c r="G32" s="20"/>
      <c r="H32" s="20"/>
    </row>
    <row r="33" ht="45" customHeight="1" spans="1:8" x14ac:dyDescent="0.25">
      <c r="A33" s="40">
        <v>6</v>
      </c>
      <c r="B33" s="20" t="str">
        <f>IFERROR(INDEX(_xlfn.FILTER('Contenido Curricular'!$B$4:$B$100, 'Contenido Curricular'!$F$4:$F$100=10), 6), "")</f>
        <v/>
      </c>
      <c r="C33" s="20"/>
      <c r="D33" s="20" t="str">
        <f>IFERROR(INDEX(_xlfn.FILTER('Contenido Curricular'!$C$4:$C$100, 'Contenido Curricular'!$F$4:$F$100=10), 6), "")</f>
        <v/>
      </c>
      <c r="E33" s="20"/>
      <c r="F33" s="20" t="str">
        <f>IFERROR(INDEX(_xlfn.FILTER('Contenido Curricular'!$D$4:$D$100, 'Contenido Curricular'!$F$4:$F$100=10), 6), "")</f>
        <v/>
      </c>
      <c r="G33" s="20"/>
      <c r="H33" s="20"/>
    </row>
    <row r="34" ht="45" customHeight="1" spans="1:8" x14ac:dyDescent="0.25">
      <c r="A34" s="40">
        <v>7</v>
      </c>
      <c r="B34" s="20" t="str">
        <f>IFERROR(INDEX(_xlfn.FILTER('Contenido Curricular'!$B$4:$B$100, 'Contenido Curricular'!$F$4:$F$100=10), 7), "")</f>
        <v/>
      </c>
      <c r="C34" s="20"/>
      <c r="D34" s="20" t="str">
        <f>IFERROR(INDEX(_xlfn.FILTER('Contenido Curricular'!$C$4:$C$100, 'Contenido Curricular'!$F$4:$F$100=10), 7), "")</f>
        <v/>
      </c>
      <c r="E34" s="20"/>
      <c r="F34" s="20" t="str">
        <f>IFERROR(INDEX(_xlfn.FILTER('Contenido Curricular'!$D$4:$D$100, 'Contenido Curricular'!$F$4:$F$100=10), 7), "")</f>
        <v/>
      </c>
      <c r="G34" s="20"/>
      <c r="H34" s="20"/>
    </row>
    <row r="35" ht="45" customHeight="1" spans="1:8" x14ac:dyDescent="0.25">
      <c r="A35" s="40">
        <v>8</v>
      </c>
      <c r="B35" s="20" t="str">
        <f>IFERROR(INDEX(_xlfn.FILTER('Contenido Curricular'!$B$4:$B$100, 'Contenido Curricular'!$F$4:$F$100=10), 8), "")</f>
        <v/>
      </c>
      <c r="C35" s="20"/>
      <c r="D35" s="20" t="str">
        <f>IFERROR(INDEX(_xlfn.FILTER('Contenido Curricular'!$C$4:$C$100, 'Contenido Curricular'!$F$4:$F$100=10), 8), "")</f>
        <v/>
      </c>
      <c r="E35" s="20"/>
      <c r="F35" s="20" t="str">
        <f>IFERROR(INDEX(_xlfn.FILTER('Contenido Curricular'!$D$4:$D$100, 'Contenido Curricular'!$F$4:$F$100=10), 8), "")</f>
        <v/>
      </c>
      <c r="G35" s="20"/>
      <c r="H35" s="20"/>
    </row>
    <row r="36" ht="45" customHeight="1" spans="1:8" x14ac:dyDescent="0.25">
      <c r="A36" s="40">
        <v>9</v>
      </c>
      <c r="B36" s="20" t="str">
        <f>IFERROR(INDEX(_xlfn.FILTER('Contenido Curricular'!$B$4:$B$100, 'Contenido Curricular'!$F$4:$F$100=10), 9), "")</f>
        <v/>
      </c>
      <c r="C36" s="20"/>
      <c r="D36" s="20" t="str">
        <f>IFERROR(INDEX(_xlfn.FILTER('Contenido Curricular'!$C$4:$C$100, 'Contenido Curricular'!$F$4:$F$100=10), 9), "")</f>
        <v/>
      </c>
      <c r="E36" s="20"/>
      <c r="F36" s="20" t="str">
        <f>IFERROR(INDEX(_xlfn.FILTER('Contenido Curricular'!$D$4:$D$100, 'Contenido Curricular'!$F$4:$F$100=10), 9), "")</f>
        <v/>
      </c>
      <c r="G36" s="20"/>
      <c r="H36" s="20"/>
    </row>
    <row r="37" ht="45" customHeight="1" spans="1:8" x14ac:dyDescent="0.25">
      <c r="A37" s="40">
        <v>10</v>
      </c>
      <c r="B37" s="20" t="str">
        <f>IFERROR(INDEX(_xlfn.FILTER('Contenido Curricular'!$B$4:$B$100, 'Contenido Curricular'!$F$4:$F$100=10), 10), "")</f>
        <v/>
      </c>
      <c r="C37" s="20"/>
      <c r="D37" s="20" t="str">
        <f>IFERROR(INDEX(_xlfn.FILTER('Contenido Curricular'!$C$4:$C$100, 'Contenido Curricular'!$F$4:$F$100=10), 10), "")</f>
        <v/>
      </c>
      <c r="E37" s="20"/>
      <c r="F37" s="20" t="str">
        <f>IFERROR(INDEX(_xlfn.FILTER('Contenido Curricular'!$D$4:$D$100, 'Contenido Curricular'!$F$4:$F$100=10),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76"/>
  <sheetFormatPr defaultRowHeight="15" outlineLevelRow="0" outlineLevelCol="0" x14ac:dyDescent="55"/>
  <cols>
    <col min="1" max="1" width="40" customWidth="1"/>
    <col min="2" max="2" width="18" customWidth="1"/>
    <col min="3" max="6" width="12" customWidth="1"/>
    <col min="7" max="7" width="18" customWidth="1"/>
    <col min="8" max="8" width="12" customWidth="1"/>
  </cols>
  <sheetData>
    <row r="2" spans="2:2" x14ac:dyDescent="0.25">
      <c r="B2" s="21" t="s">
        <v>149</v>
      </c>
    </row>
    <row r="4" spans="2:8" x14ac:dyDescent="0.25">
      <c r="B4" s="22" t="s">
        <v>119</v>
      </c>
      <c r="C4" s="31" t="s">
        <v>120</v>
      </c>
      <c r="D4" s="31"/>
      <c r="E4" s="31"/>
      <c r="F4" s="31"/>
      <c r="G4" s="31"/>
      <c r="H4" s="31"/>
    </row>
    <row r="5" spans="2:8" x14ac:dyDescent="0.25">
      <c r="B5" s="22" t="s">
        <v>13</v>
      </c>
      <c r="C5" s="32">
        <v>11</v>
      </c>
      <c r="D5" s="32"/>
      <c r="E5" s="32"/>
      <c r="F5" s="32"/>
      <c r="G5" s="32"/>
      <c r="H5" s="32"/>
    </row>
    <row r="6" spans="2:8" x14ac:dyDescent="0.25">
      <c r="B6" s="22" t="s">
        <v>121</v>
      </c>
      <c r="C6" s="32">
        <f>H10+H21+H45+H70</f>
      </c>
      <c r="D6" s="32"/>
      <c r="E6" s="32"/>
      <c r="F6" s="32"/>
      <c r="G6" s="32"/>
      <c r="H6" s="32"/>
    </row>
    <row r="7" spans="2:8" x14ac:dyDescent="0.25">
      <c r="B7" s="22" t="s">
        <v>150</v>
      </c>
      <c r="C7" s="32">
        <f>B50+B61</f>
      </c>
      <c r="D7" s="32"/>
      <c r="E7" s="32"/>
      <c r="F7" s="32"/>
      <c r="G7" s="32"/>
      <c r="H7" s="32"/>
    </row>
    <row r="8" spans="2:8" x14ac:dyDescent="0.25">
      <c r="B8" s="22" t="s">
        <v>151</v>
      </c>
      <c r="C8" s="33">
        <f>IF(H51&lt;=0, "❌ ERROR: La Actividad 1 debe tener un tiempo mayor a 0.", IF(H21&gt;60, "❌ ERROR: El 'Área de Conocimiento' no puede exceder los 60 min.", IF((H10+H21+H45)&lt;100, "❌ ERROR: El tiempo total debe ser de al menos 100 min.", "✅ VALIDACIÓN CORRECTA")))</f>
      </c>
      <c r="D8" s="33"/>
      <c r="E8" s="33"/>
      <c r="F8" s="33"/>
      <c r="G8" s="33"/>
      <c r="H8" s="33"/>
    </row>
    <row r="10" spans="1:8" x14ac:dyDescent="0.25">
      <c r="A10" s="34" t="s">
        <v>152</v>
      </c>
      <c r="G10" s="35" t="s">
        <v>121</v>
      </c>
      <c r="H10" s="36">
        <v>5</v>
      </c>
    </row>
    <row r="11" spans="7:8" x14ac:dyDescent="0.25">
      <c r="G11" s="37" t="s">
        <v>153</v>
      </c>
      <c r="H11" s="37"/>
    </row>
    <row r="12" spans="1:8" x14ac:dyDescent="0.25">
      <c r="A12" s="38" t="s">
        <v>154</v>
      </c>
      <c r="B12" s="22" t="s">
        <v>18</v>
      </c>
      <c r="C12" s="22"/>
      <c r="D12" s="22"/>
      <c r="E12" s="22"/>
      <c r="F12" s="22"/>
      <c r="G12" s="22"/>
      <c r="H12" s="22"/>
    </row>
    <row r="13" spans="1:8" x14ac:dyDescent="0.25">
      <c r="A13" s="38" t="s">
        <v>123</v>
      </c>
      <c r="B13" s="22" t="s">
        <v>18</v>
      </c>
      <c r="C13" s="22"/>
      <c r="D13" s="22"/>
      <c r="E13" s="22"/>
      <c r="F13" s="22"/>
      <c r="G13" s="22"/>
      <c r="H13" s="22"/>
    </row>
    <row r="14" spans="1:8" x14ac:dyDescent="0.25">
      <c r="A14" s="38" t="s">
        <v>155</v>
      </c>
      <c r="B14" s="38"/>
      <c r="C14" s="38"/>
      <c r="D14" s="38"/>
      <c r="E14" s="38"/>
      <c r="F14" s="38"/>
      <c r="G14" s="38"/>
      <c r="H14" s="38"/>
    </row>
    <row r="15" spans="1:8" x14ac:dyDescent="0.25">
      <c r="A15" s="20" t="s">
        <v>18</v>
      </c>
      <c r="B15" s="20"/>
      <c r="C15" s="20"/>
      <c r="D15" s="20"/>
      <c r="E15" s="20"/>
      <c r="F15" s="20"/>
      <c r="G15" s="20"/>
      <c r="H15" s="20"/>
    </row>
    <row r="16" spans="1:8" x14ac:dyDescent="0.25">
      <c r="A16" s="20"/>
      <c r="B16" s="20"/>
      <c r="C16" s="20"/>
      <c r="D16" s="20"/>
      <c r="E16" s="20"/>
      <c r="F16" s="20"/>
      <c r="G16" s="20"/>
      <c r="H16" s="20"/>
    </row>
    <row r="17" spans="1:8" x14ac:dyDescent="0.25">
      <c r="A17" s="38" t="s">
        <v>156</v>
      </c>
      <c r="B17" s="38"/>
      <c r="C17" s="38"/>
      <c r="D17" s="38"/>
      <c r="E17" s="38"/>
      <c r="F17" s="38"/>
      <c r="G17" s="38"/>
      <c r="H17" s="38"/>
    </row>
    <row r="18" spans="1:8" x14ac:dyDescent="0.25">
      <c r="A18" s="20" t="s">
        <v>18</v>
      </c>
      <c r="B18" s="20"/>
      <c r="C18" s="20"/>
      <c r="D18" s="20"/>
      <c r="E18" s="20"/>
      <c r="F18" s="20"/>
      <c r="G18" s="20"/>
      <c r="H18" s="20"/>
    </row>
    <row r="19" spans="1:8" x14ac:dyDescent="0.25">
      <c r="A19" s="20"/>
      <c r="B19" s="20"/>
      <c r="C19" s="20"/>
      <c r="D19" s="20"/>
      <c r="E19" s="20"/>
      <c r="F19" s="20"/>
      <c r="G19" s="20"/>
      <c r="H19" s="20"/>
    </row>
    <row r="21" spans="1:8" x14ac:dyDescent="0.25">
      <c r="A21" s="34" t="s">
        <v>157</v>
      </c>
      <c r="G21" s="35" t="s">
        <v>121</v>
      </c>
      <c r="H21" s="36">
        <v>60</v>
      </c>
    </row>
    <row r="22" spans="7:8" x14ac:dyDescent="0.25">
      <c r="G22" s="37" t="s">
        <v>158</v>
      </c>
      <c r="H22" s="37"/>
    </row>
    <row r="23" spans="1:8" x14ac:dyDescent="0.25">
      <c r="A23" s="38" t="s">
        <v>159</v>
      </c>
      <c r="B23" s="22"/>
      <c r="C23" s="22"/>
      <c r="D23" s="22"/>
      <c r="E23" s="22"/>
      <c r="F23" s="22"/>
      <c r="G23" s="22"/>
      <c r="H23" s="22"/>
    </row>
    <row r="24" spans="1:8" x14ac:dyDescent="0.25">
      <c r="A24" s="38" t="s">
        <v>159</v>
      </c>
      <c r="B24" s="22"/>
      <c r="C24" s="22"/>
      <c r="D24" s="22"/>
      <c r="E24" s="22"/>
      <c r="F24" s="22"/>
      <c r="G24" s="22"/>
      <c r="H24" s="22"/>
    </row>
    <row r="26" spans="1:8" x14ac:dyDescent="0.25">
      <c r="A26" s="34" t="s">
        <v>160</v>
      </c>
      <c r="B26" s="34"/>
      <c r="C26" s="34"/>
      <c r="D26" s="34"/>
      <c r="E26" s="34"/>
      <c r="F26" s="34"/>
      <c r="G26" s="34"/>
      <c r="H26" s="34"/>
    </row>
    <row r="27" spans="1:8" x14ac:dyDescent="0.25">
      <c r="A27" s="39" t="s">
        <v>161</v>
      </c>
      <c r="B27" s="39" t="s">
        <v>9</v>
      </c>
      <c r="C27" s="39"/>
      <c r="D27" s="39" t="s">
        <v>10</v>
      </c>
      <c r="E27" s="39"/>
      <c r="F27" s="39" t="s">
        <v>162</v>
      </c>
      <c r="G27" s="39"/>
      <c r="H27" s="39"/>
    </row>
    <row r="28" ht="45" customHeight="1" spans="1:8" x14ac:dyDescent="0.25">
      <c r="A28" s="40">
        <v>1</v>
      </c>
      <c r="B28" s="20" t="str">
        <f>IFERROR(INDEX(_xlfn.FILTER('Contenido Curricular'!$B$4:$B$100, 'Contenido Curricular'!$F$4:$F$100=11), 1), "")</f>
        <v/>
      </c>
      <c r="C28" s="20"/>
      <c r="D28" s="20" t="str">
        <f>IFERROR(INDEX(_xlfn.FILTER('Contenido Curricular'!$C$4:$C$100, 'Contenido Curricular'!$F$4:$F$100=11), 1), "")</f>
        <v/>
      </c>
      <c r="E28" s="20"/>
      <c r="F28" s="20" t="str">
        <f>IFERROR(INDEX(_xlfn.FILTER('Contenido Curricular'!$D$4:$D$100, 'Contenido Curricular'!$F$4:$F$100=11), 1), "")</f>
        <v/>
      </c>
      <c r="G28" s="20"/>
      <c r="H28" s="20"/>
    </row>
    <row r="29" ht="45" customHeight="1" spans="1:8" x14ac:dyDescent="0.25">
      <c r="A29" s="40">
        <v>2</v>
      </c>
      <c r="B29" s="20" t="str">
        <f>IFERROR(INDEX(_xlfn.FILTER('Contenido Curricular'!$B$4:$B$100, 'Contenido Curricular'!$F$4:$F$100=11), 2), "")</f>
        <v/>
      </c>
      <c r="C29" s="20"/>
      <c r="D29" s="20" t="str">
        <f>IFERROR(INDEX(_xlfn.FILTER('Contenido Curricular'!$C$4:$C$100, 'Contenido Curricular'!$F$4:$F$100=11), 2), "")</f>
        <v/>
      </c>
      <c r="E29" s="20"/>
      <c r="F29" s="20" t="str">
        <f>IFERROR(INDEX(_xlfn.FILTER('Contenido Curricular'!$D$4:$D$100, 'Contenido Curricular'!$F$4:$F$100=11), 2), "")</f>
        <v/>
      </c>
      <c r="G29" s="20"/>
      <c r="H29" s="20"/>
    </row>
    <row r="30" ht="45" customHeight="1" spans="1:8" x14ac:dyDescent="0.25">
      <c r="A30" s="40">
        <v>3</v>
      </c>
      <c r="B30" s="20" t="str">
        <f>IFERROR(INDEX(_xlfn.FILTER('Contenido Curricular'!$B$4:$B$100, 'Contenido Curricular'!$F$4:$F$100=11), 3), "")</f>
        <v/>
      </c>
      <c r="C30" s="20"/>
      <c r="D30" s="20" t="str">
        <f>IFERROR(INDEX(_xlfn.FILTER('Contenido Curricular'!$C$4:$C$100, 'Contenido Curricular'!$F$4:$F$100=11), 3), "")</f>
        <v/>
      </c>
      <c r="E30" s="20"/>
      <c r="F30" s="20" t="str">
        <f>IFERROR(INDEX(_xlfn.FILTER('Contenido Curricular'!$D$4:$D$100, 'Contenido Curricular'!$F$4:$F$100=11), 3), "")</f>
        <v/>
      </c>
      <c r="G30" s="20"/>
      <c r="H30" s="20"/>
    </row>
    <row r="31" ht="45" customHeight="1" spans="1:8" x14ac:dyDescent="0.25">
      <c r="A31" s="40">
        <v>4</v>
      </c>
      <c r="B31" s="20" t="str">
        <f>IFERROR(INDEX(_xlfn.FILTER('Contenido Curricular'!$B$4:$B$100, 'Contenido Curricular'!$F$4:$F$100=11), 4), "")</f>
        <v/>
      </c>
      <c r="C31" s="20"/>
      <c r="D31" s="20" t="str">
        <f>IFERROR(INDEX(_xlfn.FILTER('Contenido Curricular'!$C$4:$C$100, 'Contenido Curricular'!$F$4:$F$100=11), 4), "")</f>
        <v/>
      </c>
      <c r="E31" s="20"/>
      <c r="F31" s="20" t="str">
        <f>IFERROR(INDEX(_xlfn.FILTER('Contenido Curricular'!$D$4:$D$100, 'Contenido Curricular'!$F$4:$F$100=11), 4), "")</f>
        <v/>
      </c>
      <c r="G31" s="20"/>
      <c r="H31" s="20"/>
    </row>
    <row r="32" ht="45" customHeight="1" spans="1:8" x14ac:dyDescent="0.25">
      <c r="A32" s="40">
        <v>5</v>
      </c>
      <c r="B32" s="20" t="str">
        <f>IFERROR(INDEX(_xlfn.FILTER('Contenido Curricular'!$B$4:$B$100, 'Contenido Curricular'!$F$4:$F$100=11), 5), "")</f>
        <v/>
      </c>
      <c r="C32" s="20"/>
      <c r="D32" s="20" t="str">
        <f>IFERROR(INDEX(_xlfn.FILTER('Contenido Curricular'!$C$4:$C$100, 'Contenido Curricular'!$F$4:$F$100=11), 5), "")</f>
        <v/>
      </c>
      <c r="E32" s="20"/>
      <c r="F32" s="20" t="str">
        <f>IFERROR(INDEX(_xlfn.FILTER('Contenido Curricular'!$D$4:$D$100, 'Contenido Curricular'!$F$4:$F$100=11), 5), "")</f>
        <v/>
      </c>
      <c r="G32" s="20"/>
      <c r="H32" s="20"/>
    </row>
    <row r="33" ht="45" customHeight="1" spans="1:8" x14ac:dyDescent="0.25">
      <c r="A33" s="40">
        <v>6</v>
      </c>
      <c r="B33" s="20" t="str">
        <f>IFERROR(INDEX(_xlfn.FILTER('Contenido Curricular'!$B$4:$B$100, 'Contenido Curricular'!$F$4:$F$100=11), 6), "")</f>
        <v/>
      </c>
      <c r="C33" s="20"/>
      <c r="D33" s="20" t="str">
        <f>IFERROR(INDEX(_xlfn.FILTER('Contenido Curricular'!$C$4:$C$100, 'Contenido Curricular'!$F$4:$F$100=11), 6), "")</f>
        <v/>
      </c>
      <c r="E33" s="20"/>
      <c r="F33" s="20" t="str">
        <f>IFERROR(INDEX(_xlfn.FILTER('Contenido Curricular'!$D$4:$D$100, 'Contenido Curricular'!$F$4:$F$100=11), 6), "")</f>
        <v/>
      </c>
      <c r="G33" s="20"/>
      <c r="H33" s="20"/>
    </row>
    <row r="34" ht="45" customHeight="1" spans="1:8" x14ac:dyDescent="0.25">
      <c r="A34" s="40">
        <v>7</v>
      </c>
      <c r="B34" s="20" t="str">
        <f>IFERROR(INDEX(_xlfn.FILTER('Contenido Curricular'!$B$4:$B$100, 'Contenido Curricular'!$F$4:$F$100=11), 7), "")</f>
        <v/>
      </c>
      <c r="C34" s="20"/>
      <c r="D34" s="20" t="str">
        <f>IFERROR(INDEX(_xlfn.FILTER('Contenido Curricular'!$C$4:$C$100, 'Contenido Curricular'!$F$4:$F$100=11), 7), "")</f>
        <v/>
      </c>
      <c r="E34" s="20"/>
      <c r="F34" s="20" t="str">
        <f>IFERROR(INDEX(_xlfn.FILTER('Contenido Curricular'!$D$4:$D$100, 'Contenido Curricular'!$F$4:$F$100=11), 7), "")</f>
        <v/>
      </c>
      <c r="G34" s="20"/>
      <c r="H34" s="20"/>
    </row>
    <row r="35" ht="45" customHeight="1" spans="1:8" x14ac:dyDescent="0.25">
      <c r="A35" s="40">
        <v>8</v>
      </c>
      <c r="B35" s="20" t="str">
        <f>IFERROR(INDEX(_xlfn.FILTER('Contenido Curricular'!$B$4:$B$100, 'Contenido Curricular'!$F$4:$F$100=11), 8), "")</f>
        <v/>
      </c>
      <c r="C35" s="20"/>
      <c r="D35" s="20" t="str">
        <f>IFERROR(INDEX(_xlfn.FILTER('Contenido Curricular'!$C$4:$C$100, 'Contenido Curricular'!$F$4:$F$100=11), 8), "")</f>
        <v/>
      </c>
      <c r="E35" s="20"/>
      <c r="F35" s="20" t="str">
        <f>IFERROR(INDEX(_xlfn.FILTER('Contenido Curricular'!$D$4:$D$100, 'Contenido Curricular'!$F$4:$F$100=11), 8), "")</f>
        <v/>
      </c>
      <c r="G35" s="20"/>
      <c r="H35" s="20"/>
    </row>
    <row r="36" ht="45" customHeight="1" spans="1:8" x14ac:dyDescent="0.25">
      <c r="A36" s="40">
        <v>9</v>
      </c>
      <c r="B36" s="20" t="str">
        <f>IFERROR(INDEX(_xlfn.FILTER('Contenido Curricular'!$B$4:$B$100, 'Contenido Curricular'!$F$4:$F$100=11), 9), "")</f>
        <v/>
      </c>
      <c r="C36" s="20"/>
      <c r="D36" s="20" t="str">
        <f>IFERROR(INDEX(_xlfn.FILTER('Contenido Curricular'!$C$4:$C$100, 'Contenido Curricular'!$F$4:$F$100=11), 9), "")</f>
        <v/>
      </c>
      <c r="E36" s="20"/>
      <c r="F36" s="20" t="str">
        <f>IFERROR(INDEX(_xlfn.FILTER('Contenido Curricular'!$D$4:$D$100, 'Contenido Curricular'!$F$4:$F$100=11), 9), "")</f>
        <v/>
      </c>
      <c r="G36" s="20"/>
      <c r="H36" s="20"/>
    </row>
    <row r="37" ht="45" customHeight="1" spans="1:8" x14ac:dyDescent="0.25">
      <c r="A37" s="40">
        <v>10</v>
      </c>
      <c r="B37" s="20" t="str">
        <f>IFERROR(INDEX(_xlfn.FILTER('Contenido Curricular'!$B$4:$B$100, 'Contenido Curricular'!$F$4:$F$100=11), 10), "")</f>
        <v/>
      </c>
      <c r="C37" s="20"/>
      <c r="D37" s="20" t="str">
        <f>IFERROR(INDEX(_xlfn.FILTER('Contenido Curricular'!$C$4:$C$100, 'Contenido Curricular'!$F$4:$F$100=11), 10), "")</f>
        <v/>
      </c>
      <c r="E37" s="20"/>
      <c r="F37" s="20" t="str">
        <f>IFERROR(INDEX(_xlfn.FILTER('Contenido Curricular'!$D$4:$D$100, 'Contenido Curricular'!$F$4:$F$100=11), 10), "")</f>
        <v/>
      </c>
      <c r="G37" s="20"/>
      <c r="H37" s="20"/>
    </row>
    <row r="38" spans="1:8" x14ac:dyDescent="0.25">
      <c r="A38" s="41" t="s">
        <v>163</v>
      </c>
      <c r="B38" s="41"/>
      <c r="C38" s="41"/>
      <c r="D38" s="41"/>
      <c r="E38" s="41"/>
      <c r="F38" s="41"/>
      <c r="G38" s="41"/>
      <c r="H38" s="41"/>
    </row>
    <row r="39" spans="1:8" x14ac:dyDescent="0.25">
      <c r="A39" s="42" t="s">
        <v>164</v>
      </c>
      <c r="B39" s="42"/>
      <c r="C39" s="42" t="s">
        <v>2</v>
      </c>
      <c r="D39" s="42"/>
      <c r="E39" s="42" t="s">
        <v>165</v>
      </c>
      <c r="F39" s="42"/>
      <c r="G39" s="42" t="s">
        <v>123</v>
      </c>
      <c r="H39" s="42"/>
    </row>
    <row r="40" spans="1:8" x14ac:dyDescent="0.25">
      <c r="A40" s="22" t="s">
        <v>166</v>
      </c>
      <c r="B40" s="22"/>
      <c r="C40" s="22" t="s">
        <v>167</v>
      </c>
      <c r="D40" s="22"/>
      <c r="E40" s="22" t="s">
        <v>168</v>
      </c>
      <c r="F40" s="22"/>
      <c r="G40" s="32">
        <v>25</v>
      </c>
      <c r="H40" s="32"/>
    </row>
    <row r="41" spans="1:8" x14ac:dyDescent="0.25">
      <c r="A41" s="22" t="s">
        <v>169</v>
      </c>
      <c r="B41" s="22"/>
      <c r="C41" s="22" t="s">
        <v>167</v>
      </c>
      <c r="D41" s="22"/>
      <c r="E41" s="22" t="s">
        <v>170</v>
      </c>
      <c r="F41" s="22"/>
      <c r="G41" s="32">
        <v>10</v>
      </c>
      <c r="H41" s="32"/>
    </row>
    <row r="42" spans="1:8" x14ac:dyDescent="0.25">
      <c r="A42" s="22" t="s">
        <v>171</v>
      </c>
      <c r="B42" s="22"/>
      <c r="C42" s="22" t="s">
        <v>172</v>
      </c>
      <c r="D42" s="22"/>
      <c r="E42" s="22" t="s">
        <v>173</v>
      </c>
      <c r="F42" s="22"/>
      <c r="G42" s="32">
        <v>5</v>
      </c>
      <c r="H42" s="32"/>
    </row>
    <row r="43" spans="1:8" x14ac:dyDescent="0.25">
      <c r="A43" s="22" t="s">
        <v>174</v>
      </c>
      <c r="B43" s="22"/>
      <c r="C43" s="22" t="s">
        <v>167</v>
      </c>
      <c r="D43" s="22"/>
      <c r="E43" s="22" t="s">
        <v>175</v>
      </c>
      <c r="F43" s="22"/>
      <c r="G43" s="32">
        <v>25</v>
      </c>
      <c r="H43" s="32"/>
    </row>
    <row r="45" spans="1:8" x14ac:dyDescent="0.25">
      <c r="A45" s="34" t="s">
        <v>176</v>
      </c>
      <c r="G45" s="35" t="s">
        <v>121</v>
      </c>
      <c r="H45" s="36">
        <v>35</v>
      </c>
    </row>
    <row r="46" spans="7:8" x14ac:dyDescent="0.25">
      <c r="G46" s="37" t="s">
        <v>177</v>
      </c>
      <c r="H46" s="37"/>
    </row>
    <row r="47" spans="1:8" x14ac:dyDescent="0.25">
      <c r="A47" s="42" t="s">
        <v>178</v>
      </c>
      <c r="B47" s="42"/>
      <c r="C47" s="42"/>
      <c r="D47" s="42"/>
      <c r="E47" s="42"/>
      <c r="F47" s="42"/>
      <c r="G47" s="42"/>
      <c r="H47" s="42"/>
    </row>
    <row r="48" spans="1:8" x14ac:dyDescent="0.25">
      <c r="A48" s="38" t="s">
        <v>179</v>
      </c>
      <c r="B48" s="22"/>
      <c r="C48" s="22"/>
      <c r="D48" s="22"/>
      <c r="E48" s="22"/>
      <c r="F48" s="22"/>
      <c r="G48" s="22"/>
      <c r="H48" s="22"/>
    </row>
    <row r="49" spans="1:8" x14ac:dyDescent="0.25">
      <c r="A49" s="38" t="s">
        <v>180</v>
      </c>
      <c r="B49" s="22" t="s">
        <v>181</v>
      </c>
      <c r="C49" s="22"/>
      <c r="D49" s="22"/>
      <c r="E49" s="22"/>
      <c r="F49" s="22"/>
      <c r="G49" s="22"/>
      <c r="H49" s="22"/>
    </row>
    <row r="50" spans="1:8" x14ac:dyDescent="0.25">
      <c r="A50" s="38" t="s">
        <v>150</v>
      </c>
      <c r="B50" s="32">
        <v>0</v>
      </c>
      <c r="C50" s="32"/>
      <c r="D50" s="32"/>
      <c r="E50" s="32"/>
      <c r="F50" s="32"/>
      <c r="G50" s="32"/>
      <c r="H50" s="32"/>
    </row>
    <row r="51" spans="1:8" x14ac:dyDescent="0.25">
      <c r="A51" s="38" t="s">
        <v>123</v>
      </c>
      <c r="B51" s="32">
        <v>35</v>
      </c>
      <c r="C51" s="32"/>
      <c r="D51" s="32"/>
      <c r="E51" s="32"/>
      <c r="F51" s="32"/>
      <c r="G51" s="32"/>
      <c r="H51" s="32"/>
    </row>
    <row r="52" spans="1:8" x14ac:dyDescent="0.25">
      <c r="A52" s="43" t="s">
        <v>182</v>
      </c>
      <c r="B52" s="43"/>
      <c r="C52" s="43"/>
      <c r="D52" s="43"/>
      <c r="E52" s="43"/>
      <c r="F52" s="43"/>
      <c r="G52" s="43"/>
      <c r="H52" s="43"/>
    </row>
    <row r="53" spans="1:8" x14ac:dyDescent="0.25">
      <c r="A53" s="38" t="s">
        <v>183</v>
      </c>
      <c r="B53" s="38"/>
      <c r="C53" s="38"/>
      <c r="D53" s="38"/>
      <c r="E53" s="38"/>
      <c r="F53" s="38"/>
      <c r="G53" s="38"/>
      <c r="H53" s="38"/>
    </row>
    <row r="54" spans="1:8" x14ac:dyDescent="0.25">
      <c r="A54" s="20" t="s">
        <v>18</v>
      </c>
      <c r="B54" s="20"/>
      <c r="C54" s="20"/>
      <c r="D54" s="20"/>
      <c r="E54" s="20"/>
      <c r="F54" s="20"/>
      <c r="G54" s="20"/>
      <c r="H54" s="20"/>
    </row>
    <row r="55" spans="1:8" x14ac:dyDescent="0.25">
      <c r="A55" s="20"/>
      <c r="B55" s="20"/>
      <c r="C55" s="20"/>
      <c r="D55" s="20"/>
      <c r="E55" s="20"/>
      <c r="F55" s="20"/>
      <c r="G55" s="20"/>
      <c r="H55" s="20"/>
    </row>
    <row r="56" spans="1:8" x14ac:dyDescent="0.25">
      <c r="A56" s="20"/>
      <c r="B56" s="20"/>
      <c r="C56" s="20"/>
      <c r="D56" s="20"/>
      <c r="E56" s="20"/>
      <c r="F56" s="20"/>
      <c r="G56" s="20"/>
      <c r="H56" s="20"/>
    </row>
    <row r="57" spans="1:8" x14ac:dyDescent="0.25">
      <c r="A57" s="20"/>
      <c r="B57" s="20"/>
      <c r="C57" s="20"/>
      <c r="D57" s="20"/>
      <c r="E57" s="20"/>
      <c r="F57" s="20"/>
      <c r="G57" s="20"/>
      <c r="H57" s="20"/>
    </row>
    <row r="58" spans="1:8" x14ac:dyDescent="0.25">
      <c r="A58" s="42" t="s">
        <v>184</v>
      </c>
      <c r="B58" s="42"/>
      <c r="C58" s="42"/>
      <c r="D58" s="42"/>
      <c r="E58" s="42"/>
      <c r="F58" s="42"/>
      <c r="G58" s="42"/>
      <c r="H58" s="42"/>
    </row>
    <row r="59" spans="1:8" x14ac:dyDescent="0.25">
      <c r="A59" s="38" t="s">
        <v>179</v>
      </c>
      <c r="B59" s="22"/>
      <c r="C59" s="22"/>
      <c r="D59" s="22"/>
      <c r="E59" s="22"/>
      <c r="F59" s="22"/>
      <c r="G59" s="22"/>
      <c r="H59" s="22"/>
    </row>
    <row r="60" spans="1:8" x14ac:dyDescent="0.25">
      <c r="A60" s="38" t="s">
        <v>180</v>
      </c>
      <c r="B60" s="22"/>
      <c r="C60" s="22"/>
      <c r="D60" s="22"/>
      <c r="E60" s="22"/>
      <c r="F60" s="22"/>
      <c r="G60" s="22"/>
      <c r="H60" s="22"/>
    </row>
    <row r="61" spans="1:8" x14ac:dyDescent="0.25">
      <c r="A61" s="38" t="s">
        <v>150</v>
      </c>
      <c r="B61" s="22"/>
      <c r="C61" s="22"/>
      <c r="D61" s="22"/>
      <c r="E61" s="22"/>
      <c r="F61" s="22"/>
      <c r="G61" s="22"/>
      <c r="H61" s="22"/>
    </row>
    <row r="62" spans="1:8" x14ac:dyDescent="0.25">
      <c r="A62" s="38" t="s">
        <v>123</v>
      </c>
      <c r="B62" s="22"/>
      <c r="C62" s="22"/>
      <c r="D62" s="22"/>
      <c r="E62" s="22"/>
      <c r="F62" s="22"/>
      <c r="G62" s="22"/>
      <c r="H62" s="22"/>
    </row>
    <row r="63" spans="1:8" x14ac:dyDescent="0.25">
      <c r="A63" s="43" t="s">
        <v>185</v>
      </c>
      <c r="B63" s="43"/>
      <c r="C63" s="43"/>
      <c r="D63" s="43"/>
      <c r="E63" s="43"/>
      <c r="F63" s="43"/>
      <c r="G63" s="43"/>
      <c r="H63" s="43"/>
    </row>
    <row r="64" spans="1:8" x14ac:dyDescent="0.25">
      <c r="A64" s="38" t="s">
        <v>183</v>
      </c>
      <c r="B64" s="38"/>
      <c r="C64" s="38"/>
      <c r="D64" s="38"/>
      <c r="E64" s="38"/>
      <c r="F64" s="38"/>
      <c r="G64" s="38"/>
      <c r="H64" s="38"/>
    </row>
    <row r="65" spans="1:8" x14ac:dyDescent="0.25">
      <c r="A65" s="20" t="s">
        <v>18</v>
      </c>
      <c r="B65" s="20"/>
      <c r="C65" s="20"/>
      <c r="D65" s="20"/>
      <c r="E65" s="20"/>
      <c r="F65" s="20"/>
      <c r="G65" s="20"/>
      <c r="H65" s="20"/>
    </row>
    <row r="66" spans="1:8" x14ac:dyDescent="0.25">
      <c r="A66" s="20"/>
      <c r="B66" s="20"/>
      <c r="C66" s="20"/>
      <c r="D66" s="20"/>
      <c r="E66" s="20"/>
      <c r="F66" s="20"/>
      <c r="G66" s="20"/>
      <c r="H66" s="20"/>
    </row>
    <row r="67" spans="1:8" x14ac:dyDescent="0.25">
      <c r="A67" s="20"/>
      <c r="B67" s="20"/>
      <c r="C67" s="20"/>
      <c r="D67" s="20"/>
      <c r="E67" s="20"/>
      <c r="F67" s="20"/>
      <c r="G67" s="20"/>
      <c r="H67" s="20"/>
    </row>
    <row r="68" spans="1:8" x14ac:dyDescent="0.25">
      <c r="A68" s="20"/>
      <c r="B68" s="20"/>
      <c r="C68" s="20"/>
      <c r="D68" s="20"/>
      <c r="E68" s="20"/>
      <c r="F68" s="20"/>
      <c r="G68" s="20"/>
      <c r="H68" s="20"/>
    </row>
    <row r="70" spans="1:8" x14ac:dyDescent="0.25">
      <c r="A70" s="34" t="s">
        <v>186</v>
      </c>
      <c r="G70" s="35" t="s">
        <v>121</v>
      </c>
      <c r="H70" s="36">
        <v>10</v>
      </c>
    </row>
    <row r="71" spans="7:8" x14ac:dyDescent="0.25">
      <c r="G71" s="37" t="s">
        <v>187</v>
      </c>
      <c r="H71" s="37"/>
    </row>
    <row r="72" spans="1:8" x14ac:dyDescent="0.25">
      <c r="A72" s="38" t="s">
        <v>123</v>
      </c>
      <c r="B72" s="22"/>
      <c r="C72" s="22"/>
      <c r="D72" s="22"/>
      <c r="E72" s="22"/>
      <c r="F72" s="22"/>
      <c r="G72" s="22"/>
      <c r="H72" s="22"/>
    </row>
    <row r="73" spans="1:8" x14ac:dyDescent="0.25">
      <c r="A73" s="38" t="s">
        <v>188</v>
      </c>
      <c r="B73" s="38"/>
      <c r="C73" s="38"/>
      <c r="D73" s="38"/>
      <c r="E73" s="38"/>
      <c r="F73" s="38"/>
      <c r="G73" s="38"/>
      <c r="H73" s="38"/>
    </row>
    <row r="74" spans="1:8" x14ac:dyDescent="0.25">
      <c r="A74" s="20" t="s">
        <v>189</v>
      </c>
      <c r="B74" s="20"/>
      <c r="C74" s="20"/>
      <c r="D74" s="20"/>
      <c r="E74" s="20"/>
      <c r="F74" s="20"/>
      <c r="G74" s="20"/>
      <c r="H74" s="20"/>
    </row>
    <row r="75" spans="1:8" x14ac:dyDescent="0.25">
      <c r="A75" s="20"/>
      <c r="B75" s="20"/>
      <c r="C75" s="20"/>
      <c r="D75" s="20"/>
      <c r="E75" s="20"/>
      <c r="F75" s="20"/>
      <c r="G75" s="20"/>
      <c r="H75" s="20"/>
    </row>
    <row r="76" spans="1:8" x14ac:dyDescent="0.25">
      <c r="A76" s="43" t="s">
        <v>190</v>
      </c>
      <c r="B76" s="43"/>
      <c r="C76" s="43"/>
      <c r="D76" s="43"/>
      <c r="E76" s="43"/>
      <c r="F76" s="43"/>
      <c r="G76" s="43"/>
      <c r="H76" s="43"/>
    </row>
  </sheetData>
  <mergeCells count="9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B29:C29"/>
    <mergeCell ref="D29:E29"/>
    <mergeCell ref="F29:H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B35:C35"/>
    <mergeCell ref="D35:E35"/>
    <mergeCell ref="F35:H35"/>
    <mergeCell ref="B36:C36"/>
    <mergeCell ref="D36:E36"/>
    <mergeCell ref="F36:H36"/>
    <mergeCell ref="B37:C37"/>
    <mergeCell ref="D37:E37"/>
    <mergeCell ref="F37:H37"/>
    <mergeCell ref="A38:H38"/>
    <mergeCell ref="A39:B39"/>
    <mergeCell ref="C39:D39"/>
    <mergeCell ref="E39:F39"/>
    <mergeCell ref="G39:H39"/>
    <mergeCell ref="A40:B40"/>
    <mergeCell ref="C40:D40"/>
    <mergeCell ref="E40:F40"/>
    <mergeCell ref="G40:H40"/>
    <mergeCell ref="A41:B41"/>
    <mergeCell ref="C41:D41"/>
    <mergeCell ref="E41:F41"/>
    <mergeCell ref="G41:H41"/>
    <mergeCell ref="A42:B42"/>
    <mergeCell ref="C42:D42"/>
    <mergeCell ref="E42:F42"/>
    <mergeCell ref="G42:H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B59:H59"/>
    <mergeCell ref="B60:H60"/>
    <mergeCell ref="B61:H61"/>
    <mergeCell ref="B62:H62"/>
    <mergeCell ref="A63:H63"/>
    <mergeCell ref="A64:H64"/>
    <mergeCell ref="A65:H68"/>
    <mergeCell ref="G71:H71"/>
    <mergeCell ref="B72:H72"/>
    <mergeCell ref="A73:H73"/>
    <mergeCell ref="A74:H75"/>
    <mergeCell ref="A76:H76"/>
  </mergeCells>
  <dataValidations count="3">
    <dataValidation type="list" allowBlank="1" showErrorMessage="1" errorTitle="Valor Inválido" error="Seleccione una competencia válida de la hoja anterior." sqref="B23:B24">
      <formula1>'Competencias_2S_2026'!$P$5:$P$19</formula1>
    </dataValidation>
    <dataValidation type="list" allowBlank="1" showErrorMessage="1" errorTitle="Valor Inválido" error="Seleccione una competencia válida de la hoja anterior." sqref="B48">
      <formula1>'Competencias_2S_2026'!$P$5:$P$19</formula1>
    </dataValidation>
    <dataValidation type="list" allowBlank="1" showErrorMessage="1" errorTitle="Valor Inválido" error="Seleccione una competencia válida de la hoja anterior." sqref="B59">
      <formula1>'Competencias_2S_2026'!$P$5:$P$19</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Competencias_2S_2026</vt:lpstr>
      <vt:lpstr>Contenido Curricular</vt:lpstr>
      <vt:lpstr>Semana Diagnostico</vt:lpstr>
      <vt:lpstr>S. 2</vt:lpstr>
      <vt:lpstr>S. 3</vt:lpstr>
      <vt:lpstr>S. 4</vt:lpstr>
      <vt:lpstr>S. 5</vt:lpstr>
      <vt:lpstr>S. 6</vt:lpstr>
      <vt:lpstr>S. 7</vt:lpstr>
      <vt:lpstr>S. 8</vt:lpstr>
      <vt:lpstr>S. 9</vt:lpstr>
      <vt:lpstr>S. 10</vt:lpstr>
      <vt:lpstr>S. 11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2026-02-28T13:46:34Z</dcterms:created>
  <dcterms:modified xsi:type="dcterms:W3CDTF">2026-02-28T13:46:34Z</dcterms:modified>
</cp:coreProperties>
</file>