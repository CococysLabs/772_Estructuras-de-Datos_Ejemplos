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Nuevos Auxiliares" sheetId="2" r:id="rId5"/>
  </sheets>
  <definedNames/>
  <calcPr/>
  <extLst>
    <ext uri="GoogleSheetsCustomDataVersion2">
      <go:sheetsCustomData xmlns:go="http://customooxmlschemas.google.com/" r:id="rId6" roundtripDataChecksum="tZvbrtUbaRcNlxmNESq/0gqIEGwd4Fm4iQOAf82ecoI="/>
    </ext>
  </extLst>
</workbook>
</file>

<file path=xl/sharedStrings.xml><?xml version="1.0" encoding="utf-8"?>
<sst xmlns="http://schemas.openxmlformats.org/spreadsheetml/2006/main" count="26" uniqueCount="19">
  <si>
    <t>Criterios y Expectativas para el Primer Semestre 2026</t>
  </si>
  <si>
    <t>Nombre del Curso</t>
  </si>
  <si>
    <t>Estructura de Datos</t>
  </si>
  <si>
    <t>Codigo del Curso</t>
  </si>
  <si>
    <t>Nombre</t>
  </si>
  <si>
    <t>Funcion</t>
  </si>
  <si>
    <t>Correo de Uso Frecuente</t>
  </si>
  <si>
    <t>Correo Institucional</t>
  </si>
  <si>
    <t>Telefono</t>
  </si>
  <si>
    <t>Giovanni Saul Concohá Cax</t>
  </si>
  <si>
    <t>Auxiliar</t>
  </si>
  <si>
    <t>gconcohacax21@gmail.com</t>
  </si>
  <si>
    <t>3035111680110@ingenieria.usac.edu.gt</t>
  </si>
  <si>
    <t>Jens Jeremy Pablo Sosof</t>
  </si>
  <si>
    <t>jens18.jp@gmail.com</t>
  </si>
  <si>
    <t>3766935090101@ingenieria.usac.edu.gt</t>
  </si>
  <si>
    <t>Sergio Sebastián Sandoval Ruiz</t>
  </si>
  <si>
    <t>sebasruiz925@gmail.com</t>
  </si>
  <si>
    <t>3410169422102@ingenieria.usac.edu.gt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</si>
</sst>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1" fillId="2" fontId="4" numFmtId="0" xfId="0" applyBorder="1" applyFill="1" applyFont="1"/>
    <xf borderId="1" fillId="0" fontId="2" numFmtId="0" xfId="0" applyBorder="1" applyFont="1"/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876300" cy="1190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25"/>
    <col customWidth="1" min="3" max="3" width="20.63"/>
    <col customWidth="1" min="4" max="4" width="28.38"/>
    <col customWidth="1" min="5" max="5" width="32.13"/>
    <col customWidth="1" min="6" max="6" width="12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"),772.0)</f>
        <v>772</v>
      </c>
      <c r="L4" s="2"/>
    </row>
    <row r="5" ht="15.75" customHeight="1"/>
    <row r="6" ht="15.75" customHeight="1"/>
    <row r="7" ht="15.75" customHeight="1"/>
    <row r="8" ht="15.75" customHeight="1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ht="15.75" customHeight="1">
      <c r="B9" s="7" t="str">
        <f>IFERROR(__xludf.DUMMYFUNCTION("QUERY(
  IMPORTRANGE(""https://docs.google.com/spreadsheets/d/1rNNjJXEbbFk-tp1oCnmvsGUasYrK05YsXLDjblwpnKw/edit?gid=0#gid=0"", ""BD!A:J""),
  ""select Col5, Col8, Col6, Col7, Col9 where Col3 = '"" &amp; C3 &amp; ""'"", 0
)
"),"Steven Facundo Mejía Xolop")</f>
        <v>Steven Facundo Mejía Xolop</v>
      </c>
      <c r="C9" s="7" t="str">
        <f>IFERROR(__xludf.DUMMYFUNCTION("""COMPUTED_VALUE"""),"Auxiliar")</f>
        <v>Auxiliar</v>
      </c>
      <c r="D9" s="7" t="str">
        <f>IFERROR(__xludf.DUMMYFUNCTION("""COMPUTED_VALUE"""),"facundo25mejia@gmail.com")</f>
        <v>facundo25mejia@gmail.com</v>
      </c>
      <c r="E9" s="7" t="str">
        <f>IFERROR(__xludf.DUMMYFUNCTION("""COMPUTED_VALUE"""),"3599878850101@ingenieria.usac.edu.gt")</f>
        <v>3599878850101@ingenieria.usac.edu.gt</v>
      </c>
      <c r="F9" s="7">
        <f>IFERROR(__xludf.DUMMYFUNCTION("""COMPUTED_VALUE"""),4.0822183E7)</f>
        <v>40822183</v>
      </c>
    </row>
    <row r="10" ht="15.75" customHeight="1">
      <c r="B10" s="7" t="str">
        <f>IFERROR(__xludf.DUMMYFUNCTION("""COMPUTED_VALUE"""),"Luis Enrique Garcia Gutierrez")</f>
        <v>Luis Enrique Garcia Gutierrez</v>
      </c>
      <c r="C10" s="7" t="str">
        <f>IFERROR(__xludf.DUMMYFUNCTION("""COMPUTED_VALUE"""),"Auxiliar")</f>
        <v>Auxiliar</v>
      </c>
      <c r="D10" s="7" t="str">
        <f>IFERROR(__xludf.DUMMYFUNCTION("""COMPUTED_VALUE"""),"luisgagu9@gmail.com")</f>
        <v>luisgagu9@gmail.com</v>
      </c>
      <c r="E10" s="7" t="str">
        <f>IFERROR(__xludf.DUMMYFUNCTION("""COMPUTED_VALUE"""),"3045905330115@ingenieria.usac.edu.gt")</f>
        <v>3045905330115@ingenieria.usac.edu.gt</v>
      </c>
      <c r="F10" s="7">
        <f>IFERROR(__xludf.DUMMYFUNCTION("""COMPUTED_VALUE"""),3.4765758E7)</f>
        <v>34765758</v>
      </c>
    </row>
    <row r="11" ht="15.75" customHeight="1">
      <c r="B11" s="7" t="str">
        <f>IFERROR(__xludf.DUMMYFUNCTION("""COMPUTED_VALUE"""),"Marcos Arnoldo Itzep Ixmay")</f>
        <v>Marcos Arnoldo Itzep Ixmay</v>
      </c>
      <c r="C11" s="7" t="str">
        <f>IFERROR(__xludf.DUMMYFUNCTION("""COMPUTED_VALUE"""),"Auxiliar")</f>
        <v>Auxiliar</v>
      </c>
      <c r="D11" s="7" t="str">
        <f>IFERROR(__xludf.DUMMYFUNCTION("""COMPUTED_VALUE"""),"marcositzep@gmail.com")</f>
        <v>marcositzep@gmail.com</v>
      </c>
      <c r="E11" s="7" t="str">
        <f>IFERROR(__xludf.DUMMYFUNCTION("""COMPUTED_VALUE"""),"3077567260805@ingenieria.usac.edu.gt")</f>
        <v>3077567260805@ingenieria.usac.edu.gt</v>
      </c>
      <c r="F11" s="7">
        <f>IFERROR(__xludf.DUMMYFUNCTION("""COMPUTED_VALUE"""),4.2278167E7)</f>
        <v>42278167</v>
      </c>
    </row>
    <row r="12" ht="15.75" customHeight="1">
      <c r="B12" s="7" t="str">
        <f>IFERROR(__xludf.DUMMYFUNCTION("""COMPUTED_VALUE"""),"EDGAR RENE ORNELIS HOIL")</f>
        <v>EDGAR RENE ORNELIS HOIL</v>
      </c>
      <c r="C12" s="7" t="str">
        <f>IFERROR(__xludf.DUMMYFUNCTION("""COMPUTED_VALUE"""),"Docente")</f>
        <v>Docente</v>
      </c>
      <c r="D12" s="7" t="str">
        <f>IFERROR(__xludf.DUMMYFUNCTION("""COMPUTED_VALUE"""),"ornelyz@ingenieria.usac.edu.gt")</f>
        <v>ornelyz@ingenieria.usac.edu.gt</v>
      </c>
      <c r="E12" s="7"/>
      <c r="F12" s="7"/>
    </row>
    <row r="13" ht="15.75" customHeight="1">
      <c r="B13" s="7" t="str">
        <f>IFERROR(__xludf.DUMMYFUNCTION("""COMPUTED_VALUE"""),"ALVARO OBRAYAN HERNÁNDEZ GARCÍA")</f>
        <v>ALVARO OBRAYAN HERNÁNDEZ GARCÍA</v>
      </c>
      <c r="C13" s="7" t="str">
        <f>IFERROR(__xludf.DUMMYFUNCTION("""COMPUTED_VALUE"""),"Docente")</f>
        <v>Docente</v>
      </c>
      <c r="D13" s="7" t="str">
        <f>IFERROR(__xludf.DUMMYFUNCTION("""COMPUTED_VALUE"""),"alvaroohg@outlook.com")</f>
        <v>alvaroohg@outlook.com</v>
      </c>
      <c r="E13" s="7" t="str">
        <f>IFERROR(__xludf.DUMMYFUNCTION("""COMPUTED_VALUE"""),"ghosth32@gmail.com")</f>
        <v>ghosth32@gmail.com</v>
      </c>
      <c r="F13" s="7"/>
    </row>
    <row r="14" ht="15.75" customHeight="1">
      <c r="B14" s="7" t="str">
        <f>IFERROR(__xludf.DUMMYFUNCTION("""COMPUTED_VALUE"""),"LUIS FERNANDO ESPINO BARRIOS")</f>
        <v>LUIS FERNANDO ESPINO BARRIOS</v>
      </c>
      <c r="C14" s="7" t="str">
        <f>IFERROR(__xludf.DUMMYFUNCTION("""COMPUTED_VALUE"""),"Docente")</f>
        <v>Docente</v>
      </c>
      <c r="D14" s="7" t="str">
        <f>IFERROR(__xludf.DUMMYFUNCTION("""COMPUTED_VALUE"""),"usac.sistemas@gmail.com")</f>
        <v>usac.sistemas@gmail.com</v>
      </c>
      <c r="E14" s="7"/>
      <c r="F14" s="7"/>
    </row>
    <row r="15" ht="15.75" customHeight="1">
      <c r="B15" s="7"/>
      <c r="C15" s="7"/>
      <c r="D15" s="7"/>
      <c r="E15" s="7"/>
      <c r="F15" s="7"/>
    </row>
    <row r="16" ht="15.75" customHeight="1">
      <c r="B16" s="7"/>
      <c r="C16" s="7"/>
      <c r="D16" s="7"/>
      <c r="E16" s="7"/>
      <c r="F16" s="7"/>
    </row>
    <row r="17" ht="15.75" customHeight="1">
      <c r="B17" s="7"/>
      <c r="C17" s="7"/>
      <c r="D17" s="7"/>
      <c r="E17" s="7"/>
      <c r="F17" s="7"/>
    </row>
    <row r="18" ht="15.75" customHeight="1">
      <c r="B18" s="7"/>
      <c r="C18" s="7"/>
      <c r="D18" s="7"/>
      <c r="E18" s="7"/>
      <c r="F18" s="7"/>
    </row>
    <row r="19" ht="15.75" customHeight="1">
      <c r="B19" s="7"/>
      <c r="C19" s="7"/>
      <c r="D19" s="7"/>
      <c r="E19" s="7"/>
      <c r="F19" s="7"/>
    </row>
    <row r="20" ht="15.75" customHeight="1">
      <c r="B20" s="7"/>
      <c r="C20" s="7"/>
      <c r="D20" s="7"/>
      <c r="E20" s="7"/>
      <c r="F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G1"/>
    <mergeCell ref="C3:G3"/>
    <mergeCell ref="C4:G4"/>
    <mergeCell ref="L4:P4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88"/>
    <col customWidth="1" min="4" max="4" width="23.63"/>
    <col customWidth="1" min="6" max="6" width="31.13"/>
  </cols>
  <sheetData>
    <row r="2">
      <c r="B2" s="8" t="s">
        <v>4</v>
      </c>
      <c r="C2" s="8" t="s">
        <v>5</v>
      </c>
      <c r="D2" s="8" t="s">
        <v>6</v>
      </c>
      <c r="E2" s="8" t="s">
        <v>8</v>
      </c>
      <c r="F2" s="8" t="s">
        <v>7</v>
      </c>
    </row>
    <row r="3">
      <c r="B3" s="9" t="s">
        <v>9</v>
      </c>
      <c r="C3" s="10" t="s">
        <v>10</v>
      </c>
      <c r="D3" s="9" t="s">
        <v>11</v>
      </c>
      <c r="E3" s="11">
        <v>5.5728102E7</v>
      </c>
      <c r="F3" s="9" t="s">
        <v>12</v>
      </c>
      <c r="G3" s="12"/>
    </row>
    <row r="4">
      <c r="B4" s="9" t="s">
        <v>13</v>
      </c>
      <c r="C4" s="10" t="s">
        <v>10</v>
      </c>
      <c r="D4" s="9" t="s">
        <v>14</v>
      </c>
      <c r="E4" s="11">
        <v>4.1592404E7</v>
      </c>
      <c r="F4" s="9" t="s">
        <v>15</v>
      </c>
      <c r="G4" s="12"/>
    </row>
    <row r="5">
      <c r="B5" s="9" t="s">
        <v>16</v>
      </c>
      <c r="C5" s="10" t="s">
        <v>10</v>
      </c>
      <c r="D5" s="9" t="s">
        <v>17</v>
      </c>
      <c r="E5" s="11">
        <v>5.1315302E7</v>
      </c>
      <c r="F5" s="9" t="s">
        <v>18</v>
      </c>
      <c r="G5" s="12"/>
    </row>
  </sheetData>
  <drawing r:id="rId1"/>
</worksheet>
</file>