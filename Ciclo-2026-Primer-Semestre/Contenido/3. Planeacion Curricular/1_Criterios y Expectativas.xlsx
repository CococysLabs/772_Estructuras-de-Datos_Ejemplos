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Edgar_Ornelis" sheetId="1" r:id="rId5"/>
    <sheet state="visible" name="Docente_Alvaro_Hernndez" sheetId="2" r:id="rId6"/>
    <sheet state="visible" name="Docente_Luis_Espino" sheetId="3" r:id="rId7"/>
    <sheet state="visible" name="CoordinadorAcademico" sheetId="4" r:id="rId8"/>
  </sheets>
  <definedNames/>
  <calcPr/>
</workbook>
</file>

<file path=xl/sharedStrings.xml><?xml version="1.0" encoding="utf-8"?>
<sst xmlns="http://schemas.openxmlformats.org/spreadsheetml/2006/main" count="270" uniqueCount="58">
  <si>
    <t>Criterios y Expectativas del Docente para el Segundo Semestre 2026</t>
  </si>
  <si>
    <t>Nombre del Curso</t>
  </si>
  <si>
    <t>Estructuras de Datos</t>
  </si>
  <si>
    <t>Docente</t>
  </si>
  <si>
    <t>Coordinador</t>
  </si>
  <si>
    <t>Luis Fernando Espino Barrios</t>
  </si>
  <si>
    <t>Marlon Francisco Orellana Lopez</t>
  </si>
  <si>
    <t>Alvaro Obrayan Hernández García</t>
  </si>
  <si>
    <t>Edgar Rene Ornelis Hoil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</si>
  <si>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</si>
  <si>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</si>
  <si>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</si>
  <si>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</si>
  <si>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</si>
  <si>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</si>
  <si>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</si>
  <si>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/>
  </si>
  <si>
    <t>Herramientas de Desarrollo</t>
  </si>
  <si>
    <t>Herramienta | VS Code | Tipo | IDE</t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</si>
  <si>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</si>
  <si>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</si>
  <si>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</si>
  <si>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</si>
  <si>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</si>
  <si>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</si>
  <si>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</si>
  <si>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</si>
  <si>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</si>
  <si>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</si>
  <si>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</si>
  <si>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</si>
  <si>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</si>
  <si>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</si>
  <si>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</si>
  <si>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</si>
  <si>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</si>
  <si>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</si>
  <si>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En general el laborario debe ser una serie de prácticas y tareas orientadas a construir el proyecto, aplicando los conceptos aprendidos en la clase.</t>
  </si>
  <si>
    <t>¿Qué funciones, actitudes o conocimientos espera que tenga el tutor para contribuir a una experiencia formativa efectiva en el laboratorio?</t>
  </si>
  <si>
    <t>La función del auxiliar es de ser un tutor de las tecnologías y conceptos de clase.</t>
  </si>
  <si>
    <t>En su opinion, ¿qué competencia especifica debería desarrollar el estudiante a través del laboratorio para contribuir a su formación profesional?</t>
  </si>
  <si>
    <t>Construir plataformas de desarrollo y desarrollar cualquier estructuras de datos en cualquier lenguaje o plataforma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</si>
  <si>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</si>
  <si>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</si>
  <si>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</si>
  <si>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</si>
  <si>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....</t>
  </si>
  <si>
    <t>Desarrollar</t>
  </si>
  <si>
    <t>los algoritmos para manipular las estructuras de datos más utilizadas.</t>
  </si>
  <si>
    <t>independiente del lenguaje de programación</t>
  </si>
  <si>
    <t>Ejemplos. https://drive.google.com/drive/folders/1szLcpzkwozPD6nD4uuaiZQ3mmDRuVKVy?usp=sharing</t>
  </si>
  <si>
    <t>Decidir</t>
  </si>
  <si>
    <t>las estructuras de datos más convenientes a utilizar</t>
  </si>
  <si>
    <t>basado en el conocimiento de dichas estructuras y las necesidades de la solución.</t>
  </si>
  <si>
    <t>dado un problema específico</t>
  </si>
  <si>
    <t>Nota:</t>
  </si>
  <si>
    <t>DC = Docente</t>
  </si>
  <si>
    <t>CA = 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</si>
</sst>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4" fillId="2" fontId="10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ill="1" applyFont="1">
      <alignment horizontal="center" vertical="center"/>
    </xf>
    <xf borderId="1" fillId="3" fontId="7" numFmtId="0" xfId="0" applyAlignment="1" applyBorder="1" applyFill="1" applyFont="1">
      <alignment horizontal="center" vertical="center"/>
    </xf>
    <xf borderId="4" fillId="3" fontId="7" numFmtId="0" xfId="0" applyAlignment="1" applyBorder="1" applyFill="1" applyFont="1">
      <alignment horizontal="center" readingOrder="0" vertical="center"/>
    </xf>
    <xf borderId="5" fillId="2" fontId="7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6" fillId="2" fontId="9" numFmtId="0" xfId="0" applyBorder="1" applyFill="1" applyFont="1"/>
    <xf borderId="5" fillId="2" fontId="9" numFmtId="0" xfId="0" applyAlignment="1" applyBorder="1" applyFill="1" applyFont="1">
      <alignment horizontal="center" shrinkToFit="0" vertical="center" wrapText="1"/>
    </xf>
    <xf borderId="7" fillId="2" fontId="3" numFmtId="0" xfId="0" applyAlignment="1" applyBorder="1" applyFill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ill="1" applyFont="1">
      <alignment horizontal="left" shrinkToFit="0" vertical="top" wrapText="1"/>
    </xf>
    <xf borderId="1" fillId="3" fontId="12" numFmtId="0" xfId="0" applyAlignment="1" applyBorder="1" applyFill="1" applyFont="1">
      <alignment horizontal="left" readingOrder="0" shrinkToFit="0" vertical="top" wrapText="1"/>
    </xf>
    <xf borderId="7" fillId="2" fontId="3" numFmtId="0" xfId="0" applyAlignment="1" applyBorder="1" applyFill="1" applyFont="1">
      <alignment horizontal="left" vertical="bottom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ill="1" applyFont="1">
      <alignment horizontal="center" shrinkToFit="0" vertical="bottom" wrapText="1"/>
    </xf>
    <xf borderId="4" fillId="5" fontId="7" numFmtId="0" xfId="0" applyAlignment="1" applyBorder="1" applyFill="1" applyFont="1">
      <alignment shrinkToFit="0" vertical="bottom" wrapText="1"/>
    </xf>
    <xf borderId="4" fillId="5" fontId="7" numFmtId="0" xfId="0" applyAlignment="1" applyBorder="1" applyFill="1" applyFont="1">
      <alignment readingOrder="0" shrinkToFit="0" vertical="bottom" wrapText="1"/>
    </xf>
    <xf borderId="1" fillId="6" fontId="7" numFmtId="0" xfId="0" applyAlignment="1" applyBorder="1" applyFill="1" applyFont="1">
      <alignment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1" fillId="6" fontId="7" numFmtId="0" xfId="0" applyAlignment="1" applyBorder="1" applyFill="1" applyFont="1">
      <alignment readingOrder="0" shrinkToFit="0" vertical="bottom" wrapText="1"/>
    </xf>
    <xf borderId="4" fillId="7" fontId="7" numFmtId="0" xfId="0" applyAlignment="1" applyBorder="1" applyFill="1" applyFont="1">
      <alignment readingOrder="0" shrinkToFit="0" vertical="bottom" wrapText="1"/>
    </xf>
    <xf borderId="1" fillId="8" fontId="7" numFmtId="0" xfId="0" applyAlignment="1" applyBorder="1" applyFill="1" applyFont="1">
      <alignment shrinkToFit="0" vertical="bottom" wrapText="1"/>
    </xf>
    <xf borderId="1" fillId="8" fontId="7" numFmtId="0" xfId="0" applyAlignment="1" applyBorder="1" applyFill="1" applyFont="1">
      <alignment readingOrder="0" shrinkToFit="0" vertical="bottom" wrapText="1"/>
    </xf>
    <xf borderId="0" fillId="5" fontId="7" numFmtId="0" xfId="0" applyAlignment="1" applyFill="1" applyFont="1">
      <alignment readingOrder="0" shrinkToFit="0" vertical="bottom" wrapText="1"/>
    </xf>
    <xf borderId="0" fillId="6" fontId="7" numFmtId="0" xfId="0" applyAlignment="1" applyFill="1" applyFont="1">
      <alignment readingOrder="0" shrinkToFit="0" vertical="bottom" wrapText="1"/>
    </xf>
    <xf borderId="0" fillId="7" fontId="7" numFmtId="0" xfId="0" applyAlignment="1" applyFill="1" applyFont="1">
      <alignment readingOrder="0" shrinkToFit="0" vertical="bottom" wrapText="1"/>
    </xf>
    <xf borderId="0" fillId="8" fontId="7" numFmtId="0" xfId="0" applyAlignment="1" applyFill="1" applyFont="1">
      <alignment readingOrder="0" shrinkToFit="0" vertical="bottom" wrapText="1"/>
    </xf>
    <xf borderId="0" fillId="0" fontId="13" numFmtId="0" xfId="0" applyFont="1"/>
    <xf borderId="0" fillId="0" fontId="9" numFmtId="0" xfId="0" applyFont="1"/>
    <xf borderId="0" fillId="0" fontId="14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8</v>
      </c>
    </row>
    <row r="6">
      <c r="B6" s="4" t="s">
        <v>9</v>
      </c>
    </row>
    <row r="7" ht="30.0" customHeight="1">
      <c r="B7" s="5" t="s">
        <v>10</v>
      </c>
    </row>
    <row r="9">
      <c r="B9" s="6" t="s">
        <v>11</v>
      </c>
    </row>
    <row r="11" ht="30.0" customHeight="1">
      <c r="B11" s="7" t="s">
        <v>12</v>
      </c>
      <c r="C11" s="8"/>
      <c r="D11" s="8"/>
      <c r="E11" s="8"/>
      <c r="F11" s="8"/>
      <c r="G11" s="9"/>
    </row>
    <row r="12">
      <c r="B12" s="10" t="s">
        <v>13</v>
      </c>
      <c r="C12" s="10" t="s">
        <v>14</v>
      </c>
      <c r="D12" s="11" t="s">
        <v>15</v>
      </c>
      <c r="E12" s="8"/>
      <c r="F12" s="8"/>
      <c r="G12" s="9"/>
    </row>
    <row r="13">
      <c r="B13" s="12">
        <v>1.0</v>
      </c>
      <c r="C13" s="13" t="s">
        <v>17</v>
      </c>
      <c r="D13" s="15" t="s">
        <v>18</v>
      </c>
      <c r="E13" s="8"/>
      <c r="F13" s="8"/>
      <c r="G13" s="9"/>
    </row>
    <row r="14">
      <c r="B14" s="12">
        <v>2.0</v>
      </c>
      <c r="C14" s="12" t="s">
        <v>16</v>
      </c>
      <c r="D14" s="14" t="s">
        <v>16</v>
      </c>
      <c r="E14" s="8"/>
      <c r="F14" s="8"/>
      <c r="G14" s="9"/>
    </row>
    <row r="15" ht="24.75" customHeight="1">
      <c r="B15" s="12">
        <v>3.0</v>
      </c>
      <c r="C15" s="12" t="s">
        <v>19</v>
      </c>
      <c r="D15" s="14" t="s">
        <v>16</v>
      </c>
      <c r="E15" s="8"/>
      <c r="F15" s="8"/>
      <c r="G15" s="9"/>
    </row>
    <row r="17" ht="33.0" customHeight="1">
      <c r="B17" s="7" t="s">
        <v>20</v>
      </c>
      <c r="C17" s="8"/>
      <c r="D17" s="8"/>
      <c r="E17" s="8"/>
      <c r="F17" s="8"/>
      <c r="G17" s="9"/>
    </row>
    <row r="18">
      <c r="B18" s="10" t="s">
        <v>13</v>
      </c>
      <c r="C18" s="10" t="s">
        <v>14</v>
      </c>
      <c r="D18" s="11" t="s">
        <v>15</v>
      </c>
      <c r="E18" s="8"/>
      <c r="F18" s="8"/>
      <c r="G18" s="9"/>
    </row>
    <row r="19">
      <c r="B19" s="12">
        <v>1.0</v>
      </c>
      <c r="C19" s="12" t="s">
        <v>16</v>
      </c>
      <c r="D19" s="14" t="s">
        <v>16</v>
      </c>
      <c r="E19" s="8"/>
      <c r="F19" s="8"/>
      <c r="G19" s="9"/>
    </row>
    <row r="20">
      <c r="B20" s="12">
        <v>2.0</v>
      </c>
      <c r="C20" s="12" t="s">
        <v>16</v>
      </c>
      <c r="D20" s="14" t="s">
        <v>16</v>
      </c>
      <c r="E20" s="8"/>
      <c r="F20" s="8"/>
      <c r="G20" s="9"/>
    </row>
    <row r="21" ht="24.75" customHeight="1">
      <c r="B21" s="12">
        <v>3.0</v>
      </c>
      <c r="C21" s="12" t="s">
        <v>19</v>
      </c>
      <c r="D21" s="14" t="s">
        <v>16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22">
        <v>10.0</v>
      </c>
      <c r="D27" s="20" t="s">
        <v>16</v>
      </c>
      <c r="E27" s="21" t="s">
        <v>16</v>
      </c>
      <c r="F27" s="8"/>
      <c r="G27" s="9"/>
      <c r="H27" s="23">
        <v>10.0</v>
      </c>
    </row>
    <row r="28" ht="39.75" customHeight="1">
      <c r="B28" s="19" t="s">
        <v>29</v>
      </c>
      <c r="C28" s="22">
        <v>60.0</v>
      </c>
      <c r="D28" s="20" t="s">
        <v>16</v>
      </c>
      <c r="E28" s="21" t="s">
        <v>16</v>
      </c>
      <c r="F28" s="8"/>
      <c r="G28" s="9"/>
      <c r="H28" s="23">
        <v>60.0</v>
      </c>
    </row>
    <row r="29" ht="39.75" customHeight="1">
      <c r="B29" s="19" t="s">
        <v>30</v>
      </c>
      <c r="C29" s="22">
        <v>20.0</v>
      </c>
      <c r="D29" s="20" t="s">
        <v>16</v>
      </c>
      <c r="E29" s="21" t="s">
        <v>16</v>
      </c>
      <c r="F29" s="8"/>
      <c r="G29" s="9"/>
      <c r="H29" s="23">
        <v>20.0</v>
      </c>
    </row>
    <row r="30" ht="39.75" customHeight="1">
      <c r="B30" s="19" t="s">
        <v>31</v>
      </c>
      <c r="C30" s="22">
        <v>10.0</v>
      </c>
      <c r="D30" s="20" t="s">
        <v>16</v>
      </c>
      <c r="E30" s="21" t="s">
        <v>16</v>
      </c>
      <c r="F30" s="8"/>
      <c r="G30" s="9"/>
      <c r="H30" s="23">
        <v>10.0</v>
      </c>
    </row>
    <row r="31" ht="39.75" customHeight="1">
      <c r="B31" s="24" t="s">
        <v>32</v>
      </c>
      <c r="C31" s="25">
        <f>SUM(C27:C30)</f>
        <v>100</v>
      </c>
      <c r="E31" s="26" t="s">
        <v>33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✅ Distribución válida</v>
      </c>
      <c r="G31" s="28"/>
      <c r="H31" s="29"/>
    </row>
    <row r="32" ht="15.75" customHeight="1"/>
    <row r="33" ht="15.75" customHeight="1">
      <c r="B33" s="4" t="s">
        <v>34</v>
      </c>
    </row>
    <row r="34" ht="34.5" customHeight="1">
      <c r="B34" s="5" t="s">
        <v>35</v>
      </c>
    </row>
    <row r="35" ht="15.75" customHeight="1"/>
    <row r="36" ht="45.0" customHeight="1">
      <c r="B36" s="7" t="s">
        <v>36</v>
      </c>
      <c r="C36" s="8"/>
      <c r="D36" s="8"/>
      <c r="E36" s="8"/>
      <c r="F36" s="8"/>
      <c r="G36" s="9"/>
    </row>
    <row r="37" ht="45.0" customHeight="1">
      <c r="B37" s="31" t="s">
        <v>37</v>
      </c>
      <c r="C37" s="8"/>
      <c r="D37" s="8"/>
      <c r="E37" s="8"/>
      <c r="F37" s="8"/>
      <c r="G37" s="9"/>
    </row>
    <row r="38" ht="15.75" customHeight="1"/>
    <row r="39" ht="45.0" customHeight="1">
      <c r="B39" s="7" t="s">
        <v>38</v>
      </c>
      <c r="C39" s="8"/>
      <c r="D39" s="8"/>
      <c r="E39" s="8"/>
      <c r="F39" s="8"/>
      <c r="G39" s="9"/>
    </row>
    <row r="40" ht="45.0" customHeight="1">
      <c r="B40" s="31" t="s">
        <v>39</v>
      </c>
      <c r="C40" s="8"/>
      <c r="D40" s="8"/>
      <c r="E40" s="8"/>
      <c r="F40" s="8"/>
      <c r="G40" s="9"/>
    </row>
    <row r="41" ht="15.75" customHeight="1"/>
    <row r="42" ht="45.0" customHeight="1">
      <c r="B42" s="7" t="s">
        <v>40</v>
      </c>
      <c r="C42" s="8"/>
      <c r="D42" s="8"/>
      <c r="E42" s="8"/>
      <c r="F42" s="8"/>
      <c r="G42" s="9"/>
    </row>
    <row r="43" ht="45.0" customHeight="1">
      <c r="B43" s="31" t="s">
        <v>41</v>
      </c>
      <c r="C43" s="8"/>
      <c r="D43" s="8"/>
      <c r="E43" s="8"/>
      <c r="F43" s="8"/>
      <c r="G43" s="9"/>
    </row>
    <row r="44" ht="15.75" customHeight="1"/>
    <row r="45" ht="15.75" customHeight="1">
      <c r="B45" s="32" t="str">
        <f>CONCATENATE("El Estudiante ",B47, " ", C47, " ", E47, " ", F47)</f>
        <v>El Estudiante Desarrollar los algoritmos para manipular las estructuras de datos más utilizadas.  independiente del lenguaje de programación</v>
      </c>
      <c r="C45" s="28"/>
      <c r="D45" s="28"/>
      <c r="E45" s="28"/>
      <c r="F45" s="28"/>
      <c r="G45" s="29"/>
    </row>
    <row r="46" ht="75.75" customHeight="1">
      <c r="B46" s="33" t="s">
        <v>42</v>
      </c>
      <c r="C46" s="34" t="s">
        <v>43</v>
      </c>
      <c r="D46" s="9"/>
      <c r="E46" s="33" t="s">
        <v>44</v>
      </c>
      <c r="F46" s="34" t="s">
        <v>45</v>
      </c>
      <c r="G46" s="9"/>
    </row>
    <row r="47" ht="54.0" customHeight="1">
      <c r="B47" s="36" t="s">
        <v>47</v>
      </c>
      <c r="C47" s="39" t="s">
        <v>48</v>
      </c>
      <c r="D47" s="9"/>
      <c r="E47" s="40"/>
      <c r="F47" s="42" t="s">
        <v>49</v>
      </c>
      <c r="G47" s="9"/>
    </row>
    <row r="48" ht="54.0" customHeight="1">
      <c r="B48" s="43" t="s">
        <v>51</v>
      </c>
      <c r="C48" s="44" t="s">
        <v>52</v>
      </c>
      <c r="E48" s="45" t="s">
        <v>53</v>
      </c>
      <c r="F48" s="46" t="s">
        <v>54</v>
      </c>
    </row>
    <row r="49" ht="15.75" customHeight="1">
      <c r="B49" s="49" t="s">
        <v>50</v>
      </c>
    </row>
    <row r="50" ht="15.75" customHeight="1"/>
    <row r="51" ht="15.75" customHeight="1">
      <c r="B51" s="48" t="s">
        <v>55</v>
      </c>
    </row>
    <row r="52" ht="15.75" customHeight="1">
      <c r="B52" s="50" t="s">
        <v>56</v>
      </c>
    </row>
    <row r="53" ht="15.75" customHeight="1">
      <c r="B53" s="50" t="s">
        <v>57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6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C48:D48"/>
    <mergeCell ref="F48:G48"/>
    <mergeCell ref="B49:G49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9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7</v>
      </c>
    </row>
    <row r="6">
      <c r="B6" s="4" t="s">
        <v>9</v>
      </c>
    </row>
    <row r="7" ht="30.0" customHeight="1">
      <c r="B7" s="5" t="s">
        <v>10</v>
      </c>
    </row>
    <row r="9">
      <c r="B9" s="6" t="s">
        <v>11</v>
      </c>
    </row>
    <row r="11" ht="30.0" customHeight="1">
      <c r="B11" s="7" t="s">
        <v>12</v>
      </c>
      <c r="C11" s="8"/>
      <c r="D11" s="8"/>
      <c r="E11" s="8"/>
      <c r="F11" s="8"/>
      <c r="G11" s="9"/>
    </row>
    <row r="12">
      <c r="B12" s="10" t="s">
        <v>13</v>
      </c>
      <c r="C12" s="10" t="s">
        <v>14</v>
      </c>
      <c r="D12" s="11" t="s">
        <v>15</v>
      </c>
      <c r="E12" s="8"/>
      <c r="F12" s="8"/>
      <c r="G12" s="9"/>
    </row>
    <row r="13">
      <c r="B13" s="12">
        <v>1.0</v>
      </c>
      <c r="C13" s="12" t="s">
        <v>16</v>
      </c>
      <c r="D13" s="14" t="s">
        <v>16</v>
      </c>
      <c r="E13" s="8"/>
      <c r="F13" s="8"/>
      <c r="G13" s="9"/>
    </row>
    <row r="14">
      <c r="B14" s="12">
        <v>2.0</v>
      </c>
      <c r="C14" s="12" t="s">
        <v>16</v>
      </c>
      <c r="D14" s="14" t="s">
        <v>16</v>
      </c>
      <c r="E14" s="8"/>
      <c r="F14" s="8"/>
      <c r="G14" s="9"/>
    </row>
    <row r="15" ht="24.75" customHeight="1">
      <c r="B15" s="12">
        <v>3.0</v>
      </c>
      <c r="C15" s="12" t="s">
        <v>19</v>
      </c>
      <c r="D15" s="14" t="s">
        <v>16</v>
      </c>
      <c r="E15" s="8"/>
      <c r="F15" s="8"/>
      <c r="G15" s="9"/>
    </row>
    <row r="17" ht="33.0" customHeight="1">
      <c r="B17" s="7" t="s">
        <v>20</v>
      </c>
      <c r="C17" s="8"/>
      <c r="D17" s="8"/>
      <c r="E17" s="8"/>
      <c r="F17" s="8"/>
      <c r="G17" s="9"/>
    </row>
    <row r="18">
      <c r="B18" s="10" t="s">
        <v>13</v>
      </c>
      <c r="C18" s="10" t="s">
        <v>14</v>
      </c>
      <c r="D18" s="11" t="s">
        <v>15</v>
      </c>
      <c r="E18" s="8"/>
      <c r="F18" s="8"/>
      <c r="G18" s="9"/>
    </row>
    <row r="19">
      <c r="B19" s="12">
        <v>1.0</v>
      </c>
      <c r="C19" s="12" t="s">
        <v>16</v>
      </c>
      <c r="D19" s="14" t="s">
        <v>16</v>
      </c>
      <c r="E19" s="8"/>
      <c r="F19" s="8"/>
      <c r="G19" s="9"/>
    </row>
    <row r="20">
      <c r="B20" s="12">
        <v>2.0</v>
      </c>
      <c r="C20" s="12" t="s">
        <v>16</v>
      </c>
      <c r="D20" s="14" t="s">
        <v>16</v>
      </c>
      <c r="E20" s="8"/>
      <c r="F20" s="8"/>
      <c r="G20" s="9"/>
    </row>
    <row r="21" ht="24.75" customHeight="1">
      <c r="B21" s="12">
        <v>3.0</v>
      </c>
      <c r="C21" s="12" t="s">
        <v>19</v>
      </c>
      <c r="D21" s="14" t="s">
        <v>16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20">
        <v>0.0</v>
      </c>
      <c r="D27" s="20" t="s">
        <v>16</v>
      </c>
      <c r="E27" s="21" t="s">
        <v>16</v>
      </c>
      <c r="F27" s="8"/>
      <c r="G27" s="9"/>
      <c r="H27" s="23">
        <v>10.0</v>
      </c>
    </row>
    <row r="28" ht="39.75" customHeight="1">
      <c r="B28" s="19" t="s">
        <v>29</v>
      </c>
      <c r="C28" s="20">
        <v>0.0</v>
      </c>
      <c r="D28" s="20" t="s">
        <v>16</v>
      </c>
      <c r="E28" s="21" t="s">
        <v>16</v>
      </c>
      <c r="F28" s="8"/>
      <c r="G28" s="9"/>
      <c r="H28" s="23">
        <v>60.0</v>
      </c>
    </row>
    <row r="29" ht="39.75" customHeight="1">
      <c r="B29" s="19" t="s">
        <v>30</v>
      </c>
      <c r="C29" s="20">
        <v>0.0</v>
      </c>
      <c r="D29" s="20" t="s">
        <v>16</v>
      </c>
      <c r="E29" s="21" t="s">
        <v>16</v>
      </c>
      <c r="F29" s="8"/>
      <c r="G29" s="9"/>
      <c r="H29" s="23">
        <v>20.0</v>
      </c>
    </row>
    <row r="30" ht="39.75" customHeight="1">
      <c r="B30" s="19" t="s">
        <v>31</v>
      </c>
      <c r="C30" s="20">
        <v>0.0</v>
      </c>
      <c r="D30" s="20" t="s">
        <v>16</v>
      </c>
      <c r="E30" s="21" t="s">
        <v>16</v>
      </c>
      <c r="F30" s="8"/>
      <c r="G30" s="9"/>
      <c r="H30" s="23">
        <v>10.0</v>
      </c>
    </row>
    <row r="31" ht="39.75" customHeight="1">
      <c r="B31" s="24" t="s">
        <v>32</v>
      </c>
      <c r="C31" s="25">
        <f>SUM(C27:C30)</f>
        <v>0</v>
      </c>
      <c r="E31" s="26" t="s">
        <v>33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8"/>
      <c r="H31" s="29"/>
    </row>
    <row r="32" ht="15.75" customHeight="1"/>
    <row r="33" ht="15.75" customHeight="1">
      <c r="B33" s="4" t="s">
        <v>34</v>
      </c>
    </row>
    <row r="34" ht="34.5" customHeight="1">
      <c r="B34" s="5" t="s">
        <v>35</v>
      </c>
    </row>
    <row r="35" ht="15.75" customHeight="1"/>
    <row r="36" ht="45.0" customHeight="1">
      <c r="B36" s="7" t="s">
        <v>36</v>
      </c>
      <c r="C36" s="8"/>
      <c r="D36" s="8"/>
      <c r="E36" s="8"/>
      <c r="F36" s="8"/>
      <c r="G36" s="9"/>
    </row>
    <row r="37" ht="45.0" customHeight="1">
      <c r="B37" s="30"/>
      <c r="C37" s="8"/>
      <c r="D37" s="8"/>
      <c r="E37" s="8"/>
      <c r="F37" s="8"/>
      <c r="G37" s="9"/>
    </row>
    <row r="38" ht="15.75" customHeight="1"/>
    <row r="39" ht="45.0" customHeight="1">
      <c r="B39" s="7" t="s">
        <v>38</v>
      </c>
      <c r="C39" s="8"/>
      <c r="D39" s="8"/>
      <c r="E39" s="8"/>
      <c r="F39" s="8"/>
      <c r="G39" s="9"/>
    </row>
    <row r="40" ht="45.0" customHeight="1">
      <c r="B40" s="30"/>
      <c r="C40" s="8"/>
      <c r="D40" s="8"/>
      <c r="E40" s="8"/>
      <c r="F40" s="8"/>
      <c r="G40" s="9"/>
    </row>
    <row r="41" ht="15.75" customHeight="1"/>
    <row r="42" ht="45.0" customHeight="1">
      <c r="B42" s="7" t="s">
        <v>40</v>
      </c>
      <c r="C42" s="8"/>
      <c r="D42" s="8"/>
      <c r="E42" s="8"/>
      <c r="F42" s="8"/>
      <c r="G42" s="9"/>
    </row>
    <row r="43" ht="45.0" customHeight="1">
      <c r="B43" s="30"/>
      <c r="C43" s="8"/>
      <c r="D43" s="8"/>
      <c r="E43" s="8"/>
      <c r="F43" s="8"/>
      <c r="G43" s="9"/>
    </row>
    <row r="44" ht="15.75" customHeight="1"/>
    <row r="45" ht="15.75" customHeight="1">
      <c r="B45" s="32" t="str">
        <f>CONCATENATE("El Estudiante ",B47, " ", C47, " ", E47, " ", F47)</f>
        <v>El Estudiante ....   </v>
      </c>
      <c r="C45" s="28"/>
      <c r="D45" s="28"/>
      <c r="E45" s="28"/>
      <c r="F45" s="28"/>
      <c r="G45" s="29"/>
    </row>
    <row r="46" ht="75.75" customHeight="1">
      <c r="B46" s="33" t="s">
        <v>42</v>
      </c>
      <c r="C46" s="34" t="s">
        <v>43</v>
      </c>
      <c r="D46" s="9"/>
      <c r="E46" s="33" t="s">
        <v>44</v>
      </c>
      <c r="F46" s="34" t="s">
        <v>45</v>
      </c>
      <c r="G46" s="9"/>
    </row>
    <row r="47" ht="54.0" customHeight="1">
      <c r="B47" s="35" t="s">
        <v>46</v>
      </c>
      <c r="C47" s="37" t="s">
        <v>16</v>
      </c>
      <c r="D47" s="9"/>
      <c r="E47" s="38" t="s">
        <v>16</v>
      </c>
      <c r="F47" s="41" t="s">
        <v>16</v>
      </c>
      <c r="G47" s="9"/>
    </row>
    <row r="48" ht="15.75" customHeight="1">
      <c r="B48" s="47" t="s">
        <v>50</v>
      </c>
    </row>
    <row r="49" ht="15.75" customHeight="1"/>
    <row r="50" ht="15.75" customHeight="1">
      <c r="B50" s="48" t="s">
        <v>55</v>
      </c>
    </row>
    <row r="51" ht="15.75" customHeight="1">
      <c r="B51" s="50" t="s">
        <v>56</v>
      </c>
    </row>
    <row r="52" ht="15.75" customHeight="1">
      <c r="B52" s="50" t="s">
        <v>57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5</v>
      </c>
    </row>
    <row r="6">
      <c r="B6" s="4" t="s">
        <v>9</v>
      </c>
    </row>
    <row r="7" ht="30.0" customHeight="1">
      <c r="B7" s="5" t="s">
        <v>10</v>
      </c>
    </row>
    <row r="9">
      <c r="B9" s="6" t="s">
        <v>11</v>
      </c>
    </row>
    <row r="11" ht="30.0" customHeight="1">
      <c r="B11" s="7" t="s">
        <v>12</v>
      </c>
      <c r="C11" s="8"/>
      <c r="D11" s="8"/>
      <c r="E11" s="8"/>
      <c r="F11" s="8"/>
      <c r="G11" s="9"/>
    </row>
    <row r="12">
      <c r="B12" s="10" t="s">
        <v>13</v>
      </c>
      <c r="C12" s="10" t="s">
        <v>14</v>
      </c>
      <c r="D12" s="11" t="s">
        <v>15</v>
      </c>
      <c r="E12" s="8"/>
      <c r="F12" s="8"/>
      <c r="G12" s="9"/>
    </row>
    <row r="13">
      <c r="B13" s="12">
        <v>1.0</v>
      </c>
      <c r="C13" s="12" t="s">
        <v>16</v>
      </c>
      <c r="D13" s="14" t="s">
        <v>16</v>
      </c>
      <c r="E13" s="8"/>
      <c r="F13" s="8"/>
      <c r="G13" s="9"/>
    </row>
    <row r="14">
      <c r="B14" s="12">
        <v>2.0</v>
      </c>
      <c r="C14" s="12" t="s">
        <v>16</v>
      </c>
      <c r="D14" s="14" t="s">
        <v>16</v>
      </c>
      <c r="E14" s="8"/>
      <c r="F14" s="8"/>
      <c r="G14" s="9"/>
    </row>
    <row r="15" ht="24.75" customHeight="1">
      <c r="B15" s="12">
        <v>3.0</v>
      </c>
      <c r="C15" s="12" t="s">
        <v>19</v>
      </c>
      <c r="D15" s="14" t="s">
        <v>16</v>
      </c>
      <c r="E15" s="8"/>
      <c r="F15" s="8"/>
      <c r="G15" s="9"/>
    </row>
    <row r="17" ht="33.0" customHeight="1">
      <c r="B17" s="7" t="s">
        <v>20</v>
      </c>
      <c r="C17" s="8"/>
      <c r="D17" s="8"/>
      <c r="E17" s="8"/>
      <c r="F17" s="8"/>
      <c r="G17" s="9"/>
    </row>
    <row r="18">
      <c r="B18" s="10" t="s">
        <v>13</v>
      </c>
      <c r="C18" s="10" t="s">
        <v>14</v>
      </c>
      <c r="D18" s="11" t="s">
        <v>15</v>
      </c>
      <c r="E18" s="8"/>
      <c r="F18" s="8"/>
      <c r="G18" s="9"/>
    </row>
    <row r="19">
      <c r="B19" s="12">
        <v>1.0</v>
      </c>
      <c r="C19" s="12" t="s">
        <v>16</v>
      </c>
      <c r="D19" s="14" t="s">
        <v>16</v>
      </c>
      <c r="E19" s="8"/>
      <c r="F19" s="8"/>
      <c r="G19" s="9"/>
    </row>
    <row r="20">
      <c r="B20" s="12">
        <v>2.0</v>
      </c>
      <c r="C20" s="12" t="s">
        <v>16</v>
      </c>
      <c r="D20" s="14" t="s">
        <v>16</v>
      </c>
      <c r="E20" s="8"/>
      <c r="F20" s="8"/>
      <c r="G20" s="9"/>
    </row>
    <row r="21" ht="24.75" customHeight="1">
      <c r="B21" s="12">
        <v>3.0</v>
      </c>
      <c r="C21" s="12" t="s">
        <v>19</v>
      </c>
      <c r="D21" s="14" t="s">
        <v>16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20">
        <v>0.0</v>
      </c>
      <c r="D27" s="20" t="s">
        <v>16</v>
      </c>
      <c r="E27" s="21" t="s">
        <v>16</v>
      </c>
      <c r="F27" s="8"/>
      <c r="G27" s="9"/>
      <c r="H27" s="23">
        <v>10.0</v>
      </c>
    </row>
    <row r="28" ht="39.75" customHeight="1">
      <c r="B28" s="19" t="s">
        <v>29</v>
      </c>
      <c r="C28" s="20">
        <v>0.0</v>
      </c>
      <c r="D28" s="20" t="s">
        <v>16</v>
      </c>
      <c r="E28" s="21" t="s">
        <v>16</v>
      </c>
      <c r="F28" s="8"/>
      <c r="G28" s="9"/>
      <c r="H28" s="23">
        <v>60.0</v>
      </c>
    </row>
    <row r="29" ht="39.75" customHeight="1">
      <c r="B29" s="19" t="s">
        <v>30</v>
      </c>
      <c r="C29" s="20">
        <v>0.0</v>
      </c>
      <c r="D29" s="20" t="s">
        <v>16</v>
      </c>
      <c r="E29" s="21" t="s">
        <v>16</v>
      </c>
      <c r="F29" s="8"/>
      <c r="G29" s="9"/>
      <c r="H29" s="23">
        <v>20.0</v>
      </c>
    </row>
    <row r="30" ht="39.75" customHeight="1">
      <c r="B30" s="19" t="s">
        <v>31</v>
      </c>
      <c r="C30" s="20">
        <v>0.0</v>
      </c>
      <c r="D30" s="20" t="s">
        <v>16</v>
      </c>
      <c r="E30" s="21" t="s">
        <v>16</v>
      </c>
      <c r="F30" s="8"/>
      <c r="G30" s="9"/>
      <c r="H30" s="23">
        <v>10.0</v>
      </c>
    </row>
    <row r="31" ht="39.75" customHeight="1">
      <c r="B31" s="24" t="s">
        <v>32</v>
      </c>
      <c r="C31" s="25">
        <f>SUM(C27:C30)</f>
        <v>0</v>
      </c>
      <c r="E31" s="26" t="s">
        <v>33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8"/>
      <c r="H31" s="29"/>
    </row>
    <row r="32" ht="15.75" customHeight="1"/>
    <row r="33" ht="15.75" customHeight="1">
      <c r="B33" s="4" t="s">
        <v>34</v>
      </c>
    </row>
    <row r="34" ht="34.5" customHeight="1">
      <c r="B34" s="5" t="s">
        <v>35</v>
      </c>
    </row>
    <row r="35" ht="15.75" customHeight="1"/>
    <row r="36" ht="45.0" customHeight="1">
      <c r="B36" s="7" t="s">
        <v>36</v>
      </c>
      <c r="C36" s="8"/>
      <c r="D36" s="8"/>
      <c r="E36" s="8"/>
      <c r="F36" s="8"/>
      <c r="G36" s="9"/>
    </row>
    <row r="37" ht="45.0" customHeight="1">
      <c r="B37" s="30"/>
      <c r="C37" s="8"/>
      <c r="D37" s="8"/>
      <c r="E37" s="8"/>
      <c r="F37" s="8"/>
      <c r="G37" s="9"/>
    </row>
    <row r="38" ht="15.75" customHeight="1"/>
    <row r="39" ht="45.0" customHeight="1">
      <c r="B39" s="7" t="s">
        <v>38</v>
      </c>
      <c r="C39" s="8"/>
      <c r="D39" s="8"/>
      <c r="E39" s="8"/>
      <c r="F39" s="8"/>
      <c r="G39" s="9"/>
    </row>
    <row r="40" ht="45.0" customHeight="1">
      <c r="B40" s="30"/>
      <c r="C40" s="8"/>
      <c r="D40" s="8"/>
      <c r="E40" s="8"/>
      <c r="F40" s="8"/>
      <c r="G40" s="9"/>
    </row>
    <row r="41" ht="15.75" customHeight="1"/>
    <row r="42" ht="45.0" customHeight="1">
      <c r="B42" s="7" t="s">
        <v>40</v>
      </c>
      <c r="C42" s="8"/>
      <c r="D42" s="8"/>
      <c r="E42" s="8"/>
      <c r="F42" s="8"/>
      <c r="G42" s="9"/>
    </row>
    <row r="43" ht="45.0" customHeight="1">
      <c r="B43" s="30"/>
      <c r="C43" s="8"/>
      <c r="D43" s="8"/>
      <c r="E43" s="8"/>
      <c r="F43" s="8"/>
      <c r="G43" s="9"/>
    </row>
    <row r="44" ht="15.75" customHeight="1"/>
    <row r="45" ht="15.75" customHeight="1">
      <c r="B45" s="32" t="str">
        <f>CONCATENATE("El Estudiante ",B47, " ", C47, " ", E47, " ", F47)</f>
        <v>El Estudiante ....   </v>
      </c>
      <c r="C45" s="28"/>
      <c r="D45" s="28"/>
      <c r="E45" s="28"/>
      <c r="F45" s="28"/>
      <c r="G45" s="29"/>
    </row>
    <row r="46" ht="75.75" customHeight="1">
      <c r="B46" s="33" t="s">
        <v>42</v>
      </c>
      <c r="C46" s="34" t="s">
        <v>43</v>
      </c>
      <c r="D46" s="9"/>
      <c r="E46" s="33" t="s">
        <v>44</v>
      </c>
      <c r="F46" s="34" t="s">
        <v>45</v>
      </c>
      <c r="G46" s="9"/>
    </row>
    <row r="47" ht="54.0" customHeight="1">
      <c r="B47" s="35" t="s">
        <v>46</v>
      </c>
      <c r="C47" s="37" t="s">
        <v>16</v>
      </c>
      <c r="D47" s="9"/>
      <c r="E47" s="38" t="s">
        <v>16</v>
      </c>
      <c r="F47" s="41" t="s">
        <v>16</v>
      </c>
      <c r="G47" s="9"/>
    </row>
    <row r="48" ht="15.75" customHeight="1">
      <c r="B48" s="47" t="s">
        <v>50</v>
      </c>
    </row>
    <row r="49" ht="15.75" customHeight="1"/>
    <row r="50" ht="15.75" customHeight="1">
      <c r="B50" s="48" t="s">
        <v>55</v>
      </c>
    </row>
    <row r="51" ht="15.75" customHeight="1">
      <c r="B51" s="50" t="s">
        <v>56</v>
      </c>
    </row>
    <row r="52" ht="15.75" customHeight="1">
      <c r="B52" s="50" t="s">
        <v>57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4</v>
      </c>
      <c r="C4" s="3" t="s">
        <v>6</v>
      </c>
    </row>
    <row r="6">
      <c r="B6" s="4" t="s">
        <v>9</v>
      </c>
    </row>
    <row r="7" ht="30.0" customHeight="1">
      <c r="B7" s="5" t="s">
        <v>10</v>
      </c>
    </row>
    <row r="9">
      <c r="B9" s="6" t="s">
        <v>11</v>
      </c>
    </row>
    <row r="11" ht="30.0" customHeight="1">
      <c r="B11" s="7" t="s">
        <v>12</v>
      </c>
      <c r="C11" s="8"/>
      <c r="D11" s="8"/>
      <c r="E11" s="8"/>
      <c r="F11" s="8"/>
      <c r="G11" s="9"/>
    </row>
    <row r="12">
      <c r="B12" s="10" t="s">
        <v>13</v>
      </c>
      <c r="C12" s="10" t="s">
        <v>14</v>
      </c>
      <c r="D12" s="11" t="s">
        <v>15</v>
      </c>
      <c r="E12" s="8"/>
      <c r="F12" s="8"/>
      <c r="G12" s="9"/>
    </row>
    <row r="13">
      <c r="B13" s="12">
        <v>1.0</v>
      </c>
      <c r="C13" s="12" t="s">
        <v>16</v>
      </c>
      <c r="D13" s="14" t="s">
        <v>16</v>
      </c>
      <c r="E13" s="8"/>
      <c r="F13" s="8"/>
      <c r="G13" s="9"/>
    </row>
    <row r="14">
      <c r="B14" s="12">
        <v>2.0</v>
      </c>
      <c r="C14" s="12" t="s">
        <v>16</v>
      </c>
      <c r="D14" s="14" t="s">
        <v>16</v>
      </c>
      <c r="E14" s="8"/>
      <c r="F14" s="8"/>
      <c r="G14" s="9"/>
    </row>
    <row r="15" ht="24.75" customHeight="1">
      <c r="B15" s="12">
        <v>3.0</v>
      </c>
      <c r="C15" s="12" t="s">
        <v>19</v>
      </c>
      <c r="D15" s="14" t="s">
        <v>16</v>
      </c>
      <c r="E15" s="8"/>
      <c r="F15" s="8"/>
      <c r="G15" s="9"/>
    </row>
    <row r="17" ht="33.0" customHeight="1">
      <c r="B17" s="7" t="s">
        <v>20</v>
      </c>
      <c r="C17" s="8"/>
      <c r="D17" s="8"/>
      <c r="E17" s="8"/>
      <c r="F17" s="8"/>
      <c r="G17" s="9"/>
    </row>
    <row r="18">
      <c r="B18" s="10" t="s">
        <v>13</v>
      </c>
      <c r="C18" s="10" t="s">
        <v>14</v>
      </c>
      <c r="D18" s="11" t="s">
        <v>15</v>
      </c>
      <c r="E18" s="8"/>
      <c r="F18" s="8"/>
      <c r="G18" s="9"/>
    </row>
    <row r="19">
      <c r="B19" s="12">
        <v>1.0</v>
      </c>
      <c r="C19" s="12" t="s">
        <v>16</v>
      </c>
      <c r="D19" s="14" t="s">
        <v>16</v>
      </c>
      <c r="E19" s="8"/>
      <c r="F19" s="8"/>
      <c r="G19" s="9"/>
    </row>
    <row r="20">
      <c r="B20" s="12">
        <v>2.0</v>
      </c>
      <c r="C20" s="12" t="s">
        <v>16</v>
      </c>
      <c r="D20" s="14" t="s">
        <v>16</v>
      </c>
      <c r="E20" s="8"/>
      <c r="F20" s="8"/>
      <c r="G20" s="9"/>
    </row>
    <row r="21" ht="24.75" customHeight="1">
      <c r="B21" s="12">
        <v>3.0</v>
      </c>
      <c r="C21" s="12" t="s">
        <v>19</v>
      </c>
      <c r="D21" s="14" t="s">
        <v>16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20">
        <v>0.0</v>
      </c>
      <c r="D27" s="20" t="s">
        <v>16</v>
      </c>
      <c r="E27" s="21" t="s">
        <v>16</v>
      </c>
      <c r="F27" s="8"/>
      <c r="G27" s="9"/>
      <c r="H27" s="23">
        <v>10.0</v>
      </c>
    </row>
    <row r="28" ht="39.75" customHeight="1">
      <c r="B28" s="19" t="s">
        <v>29</v>
      </c>
      <c r="C28" s="20">
        <v>0.0</v>
      </c>
      <c r="D28" s="20" t="s">
        <v>16</v>
      </c>
      <c r="E28" s="21" t="s">
        <v>16</v>
      </c>
      <c r="F28" s="8"/>
      <c r="G28" s="9"/>
      <c r="H28" s="23">
        <v>60.0</v>
      </c>
    </row>
    <row r="29" ht="39.75" customHeight="1">
      <c r="B29" s="19" t="s">
        <v>30</v>
      </c>
      <c r="C29" s="20">
        <v>0.0</v>
      </c>
      <c r="D29" s="20" t="s">
        <v>16</v>
      </c>
      <c r="E29" s="21" t="s">
        <v>16</v>
      </c>
      <c r="F29" s="8"/>
      <c r="G29" s="9"/>
      <c r="H29" s="23">
        <v>20.0</v>
      </c>
    </row>
    <row r="30" ht="39.75" customHeight="1">
      <c r="B30" s="19" t="s">
        <v>31</v>
      </c>
      <c r="C30" s="20">
        <v>0.0</v>
      </c>
      <c r="D30" s="20" t="s">
        <v>16</v>
      </c>
      <c r="E30" s="21" t="s">
        <v>16</v>
      </c>
      <c r="F30" s="8"/>
      <c r="G30" s="9"/>
      <c r="H30" s="23">
        <v>10.0</v>
      </c>
    </row>
    <row r="31" ht="39.75" customHeight="1">
      <c r="B31" s="24" t="s">
        <v>32</v>
      </c>
      <c r="C31" s="25">
        <f>SUM(C27:C30)</f>
        <v>0</v>
      </c>
      <c r="E31" s="26" t="s">
        <v>33</v>
      </c>
      <c r="F31" s="27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8"/>
      <c r="H31" s="29"/>
    </row>
    <row r="32" ht="15.75" customHeight="1"/>
    <row r="33" ht="15.75" customHeight="1">
      <c r="B33" s="4" t="s">
        <v>34</v>
      </c>
    </row>
    <row r="34" ht="34.5" customHeight="1">
      <c r="B34" s="5" t="s">
        <v>35</v>
      </c>
    </row>
    <row r="35" ht="15.75" customHeight="1"/>
    <row r="36" ht="45.0" customHeight="1">
      <c r="B36" s="7" t="s">
        <v>36</v>
      </c>
      <c r="C36" s="8"/>
      <c r="D36" s="8"/>
      <c r="E36" s="8"/>
      <c r="F36" s="8"/>
      <c r="G36" s="9"/>
    </row>
    <row r="37" ht="45.0" customHeight="1">
      <c r="B37" s="30"/>
      <c r="C37" s="8"/>
      <c r="D37" s="8"/>
      <c r="E37" s="8"/>
      <c r="F37" s="8"/>
      <c r="G37" s="9"/>
    </row>
    <row r="38" ht="15.75" customHeight="1"/>
    <row r="39" ht="45.0" customHeight="1">
      <c r="B39" s="7" t="s">
        <v>38</v>
      </c>
      <c r="C39" s="8"/>
      <c r="D39" s="8"/>
      <c r="E39" s="8"/>
      <c r="F39" s="8"/>
      <c r="G39" s="9"/>
    </row>
    <row r="40" ht="45.0" customHeight="1">
      <c r="B40" s="30"/>
      <c r="C40" s="8"/>
      <c r="D40" s="8"/>
      <c r="E40" s="8"/>
      <c r="F40" s="8"/>
      <c r="G40" s="9"/>
    </row>
    <row r="41" ht="15.75" customHeight="1"/>
    <row r="42" ht="45.0" customHeight="1">
      <c r="B42" s="7" t="s">
        <v>40</v>
      </c>
      <c r="C42" s="8"/>
      <c r="D42" s="8"/>
      <c r="E42" s="8"/>
      <c r="F42" s="8"/>
      <c r="G42" s="9"/>
    </row>
    <row r="43" ht="45.0" customHeight="1">
      <c r="B43" s="30"/>
      <c r="C43" s="8"/>
      <c r="D43" s="8"/>
      <c r="E43" s="8"/>
      <c r="F43" s="8"/>
      <c r="G43" s="9"/>
    </row>
    <row r="44" ht="15.75" customHeight="1"/>
    <row r="45" ht="15.75" customHeight="1">
      <c r="B45" s="32" t="str">
        <f>CONCATENATE("El Estudiante ",B47, " ", C47, " ", E47, " ", F47)</f>
        <v>El Estudiante ....   </v>
      </c>
      <c r="C45" s="28"/>
      <c r="D45" s="28"/>
      <c r="E45" s="28"/>
      <c r="F45" s="28"/>
      <c r="G45" s="29"/>
    </row>
    <row r="46" ht="75.75" customHeight="1">
      <c r="B46" s="33" t="s">
        <v>42</v>
      </c>
      <c r="C46" s="34" t="s">
        <v>43</v>
      </c>
      <c r="D46" s="9"/>
      <c r="E46" s="33" t="s">
        <v>44</v>
      </c>
      <c r="F46" s="34" t="s">
        <v>45</v>
      </c>
      <c r="G46" s="9"/>
    </row>
    <row r="47" ht="54.0" customHeight="1">
      <c r="B47" s="35" t="s">
        <v>46</v>
      </c>
      <c r="C47" s="37" t="s">
        <v>16</v>
      </c>
      <c r="D47" s="9"/>
      <c r="E47" s="38" t="s">
        <v>16</v>
      </c>
      <c r="F47" s="41" t="s">
        <v>16</v>
      </c>
      <c r="G47" s="9"/>
    </row>
    <row r="48" ht="15.75" customHeight="1">
      <c r="B48" s="47" t="s">
        <v>50</v>
      </c>
    </row>
    <row r="49" ht="15.75" customHeight="1"/>
    <row r="50" ht="15.75" customHeight="1">
      <c r="B50" s="48" t="s">
        <v>55</v>
      </c>
    </row>
    <row r="51" ht="15.75" customHeight="1">
      <c r="B51" s="50" t="s">
        <v>56</v>
      </c>
    </row>
    <row r="52" ht="15.75" customHeight="1">
      <c r="B52" s="50" t="s">
        <v>57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