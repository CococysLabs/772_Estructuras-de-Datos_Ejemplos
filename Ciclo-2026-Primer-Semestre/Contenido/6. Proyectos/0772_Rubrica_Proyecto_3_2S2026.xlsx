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" sheetId="1" r:id="rId5"/>
  </sheets>
  <definedNames/>
  <calcPr/>
</workbook>
</file>

<file path=xl/sharedStrings.xml><?xml version="1.0" encoding="utf-8"?>
<sst xmlns="http://schemas.openxmlformats.org/spreadsheetml/2006/main" count="59" uniqueCount="59">
  <si>
    <t>Universidad de San Carlos de Guatemala
Facultad de Ingeniería
Escuela de Ciencias y Sistemas
Estructura de Datos - Sección 
Ing. 
Auxiliar:</t>
  </si>
  <si>
    <t>Hoja de calificacion - Proyecto Fase 3</t>
  </si>
  <si>
    <t>Fecha:</t>
  </si>
  <si>
    <t>Carné:</t>
  </si>
  <si>
    <t>Nombre:</t>
  </si>
  <si>
    <t>Descripción de ponderación</t>
  </si>
  <si>
    <t>Valor</t>
  </si>
  <si>
    <t>Observaciones</t>
  </si>
  <si>
    <t>Puntero</t>
  </si>
  <si>
    <t>Implementación de Estructuras de Datos</t>
  </si>
  <si>
    <t>Grafo no dirigido</t>
  </si>
  <si>
    <t>lista de adyacencia</t>
  </si>
  <si>
    <t>blackchain</t>
  </si>
  <si>
    <t>arbol merkle</t>
  </si>
  <si>
    <t>compresion lzw</t>
  </si>
  <si>
    <t>descompresion lzw</t>
  </si>
  <si>
    <t>archivos .lzw</t>
  </si>
  <si>
    <t>Integración Fase 3 - administrador</t>
  </si>
  <si>
    <t>Gestión de Grafo de Relaciones del Sistema</t>
  </si>
  <si>
    <t>Gestión del Blockchain de Transacciones</t>
  </si>
  <si>
    <t>Verificación del Árbol de Merkle</t>
  </si>
  <si>
    <t>Compresión y Generación de Archivos LZW</t>
  </si>
  <si>
    <t>Visualización de Relaciones del Sistema (Grafo Interactivo)</t>
  </si>
  <si>
    <t>Auditoría de Integridad de Datos (Blockchain + Merkle)</t>
  </si>
  <si>
    <t>Carga masiva JSON con reporte de éxitos y fallos</t>
  </si>
  <si>
    <t>Funcionalidades del Usuario Médico</t>
  </si>
  <si>
    <t>Registro de Usuarios</t>
  </si>
  <si>
    <t>Inicio de Sesión</t>
  </si>
  <si>
    <t>Consulta de Cartelera</t>
  </si>
  <si>
    <t>Reserva de Asientos</t>
  </si>
  <si>
    <t>Cancelación de Reservas</t>
  </si>
  <si>
    <t>Consulta de Promociones</t>
  </si>
  <si>
    <t>Solicitudes Especiales</t>
  </si>
  <si>
    <t>Estado de Solicitudes</t>
  </si>
  <si>
    <t>Recorridos de Árboles (Graphviz / Visual)</t>
  </si>
  <si>
    <t>Grafo No Dirigido del Sistema (Lista de Adyacencia)</t>
  </si>
  <si>
    <t>Blockchain de Transacciones</t>
  </si>
  <si>
    <t>Árbol de Merkle (Integridad de Datos)</t>
  </si>
  <si>
    <t>Archivos de Compresión LZW (.lzw)</t>
  </si>
  <si>
    <t>Grafo de Relaciones de Funciones y Asientos</t>
  </si>
  <si>
    <t>Documentación</t>
  </si>
  <si>
    <t>Manual técnico</t>
  </si>
  <si>
    <t>Manual de usuario</t>
  </si>
  <si>
    <t>Preguntas</t>
  </si>
  <si>
    <t>Pregunta 1</t>
  </si>
  <si>
    <t>Pregunta 2</t>
  </si>
  <si>
    <t>Puntuación Total</t>
  </si>
  <si>
    <t>Penalizaciones</t>
  </si>
  <si>
    <t>No implementó un manejo de errores adecuado</t>
  </si>
  <si>
    <t>Utilizó un lenguaje diferente al requerido</t>
  </si>
  <si>
    <t>No implementó manualmente las estructuras</t>
  </si>
  <si>
    <t>Falta de puntualidad en la calificación</t>
  </si>
  <si>
    <t>Los recorridos/reportes no se visualizan desde la interfaz</t>
  </si>
  <si>
    <t>No entregó su repositorio en UEDI</t>
  </si>
  <si>
    <t>TOTAL FINAL</t>
  </si>
  <si>
    <t>Firma del estudiante</t>
  </si>
  <si>
    <t>Firma del auxiliar</t>
  </si>
  <si>
    <t>Origianal Estudiante</t>
  </si>
  <si>
    <t>Copia tutor Académico (a entregar a coordinación DTT-ECYS)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</si>
</sst>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theme="1"/>
      <name val="Arial"/>
      <scheme val="minor"/>
    </font>
    <font>
      <b/>
      <sz val="19.0"/>
      <color theme="1"/>
      <name val="Times New Roman"/>
    </font>
    <font/>
    <font>
      <b/>
      <sz val="12.0"/>
      <color rgb="FFFFFFFF"/>
      <name val="Times New Roman"/>
    </font>
    <font>
      <b/>
      <color theme="1"/>
      <name val="Arial"/>
      <scheme val="minor"/>
    </font>
    <font>
      <sz val="12.0"/>
      <color rgb="FFFFFFFF"/>
      <name val="Times New Roman"/>
    </font>
    <font>
      <sz val="12.0"/>
      <color rgb="FF000000"/>
      <name val="Times New Roman"/>
    </font>
    <font>
      <color theme="1"/>
      <name val="Arial"/>
      <scheme val="minor"/>
    </font>
    <font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</fills>
  <borders count="7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Font="1"/>
    <xf borderId="0" fillId="0" fontId="3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1" fillId="0" fontId="4" numFmtId="0" xfId="0" applyBorder="1" applyFont="1"/>
    <xf borderId="2" fillId="2" fontId="5" numFmtId="0" xfId="0" applyAlignment="1" applyBorder="1" applyFill="1" applyFont="1">
      <alignment horizontal="center" readingOrder="0" vertical="bottom"/>
    </xf>
    <xf borderId="3" fillId="0" fontId="4" numFmtId="0" xfId="0" applyBorder="1" applyFont="1"/>
    <xf borderId="4" fillId="2" fontId="5" numFmtId="0" xfId="0" applyAlignment="1" applyBorder="1" applyFill="1" applyFont="1">
      <alignment horizontal="center" vertical="bottom"/>
    </xf>
    <xf borderId="0" fillId="0" fontId="6" numFmtId="0" xfId="0" applyAlignment="1" applyFont="1">
      <alignment horizontal="center" readingOrder="0"/>
    </xf>
    <xf borderId="2" fillId="2" fontId="5" numFmtId="0" xfId="0" applyAlignment="1" applyBorder="1" applyFill="1" applyFont="1">
      <alignment horizontal="center" readingOrder="0" shrinkToFit="0" vertical="bottom" wrapText="1"/>
    </xf>
    <xf borderId="4" fillId="2" fontId="5" numFmtId="1" xfId="0" applyAlignment="1" applyBorder="1" applyFill="1" applyFont="1" applyNumberFormat="1">
      <alignment horizontal="center" shrinkToFit="0" vertical="bottom" wrapText="1"/>
    </xf>
    <xf borderId="4" fillId="2" fontId="7" numFmtId="0" xfId="0" applyAlignment="1" applyBorder="1" applyFill="1" applyFont="1">
      <alignment vertical="bottom"/>
    </xf>
    <xf borderId="4" fillId="2" fontId="5" numFmtId="2" xfId="0" applyAlignment="1" applyBorder="1" applyFill="1" applyFont="1" applyNumberFormat="1">
      <alignment horizontal="center" vertical="bottom"/>
    </xf>
    <xf borderId="2" fillId="0" fontId="1" numFmtId="0" xfId="0" applyAlignment="1" applyBorder="1" applyFont="1">
      <alignment readingOrder="0" vertical="bottom"/>
    </xf>
    <xf borderId="4" fillId="0" fontId="1" numFmtId="1" xfId="0" applyAlignment="1" applyBorder="1" applyFont="1" applyNumberFormat="1">
      <alignment horizontal="center" readingOrder="0" shrinkToFit="0" vertical="bottom" wrapText="1"/>
    </xf>
    <xf borderId="4" fillId="0" fontId="1" numFmtId="1" xfId="0" applyAlignment="1" applyBorder="1" applyFont="1" applyNumberFormat="1">
      <alignment vertical="bottom"/>
    </xf>
    <xf borderId="4" fillId="0" fontId="1" numFmtId="1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readingOrder="0" shrinkToFit="0" vertical="bottom" wrapText="1"/>
    </xf>
    <xf borderId="4" fillId="2" fontId="5" numFmtId="1" xfId="0" applyAlignment="1" applyBorder="1" applyFill="1" applyFont="1" applyNumberFormat="1">
      <alignment horizontal="center" readingOrder="0" shrinkToFit="0" vertical="bottom" wrapText="1"/>
    </xf>
    <xf borderId="4" fillId="0" fontId="1" numFmtId="0" xfId="0" applyAlignment="1" applyBorder="1" applyFont="1">
      <alignment vertical="bottom"/>
    </xf>
    <xf borderId="4" fillId="0" fontId="1" numFmtId="2" xfId="0" applyAlignment="1" applyBorder="1" applyFont="1" applyNumberFormat="1">
      <alignment horizontal="center" vertical="bottom"/>
    </xf>
    <xf borderId="1" fillId="0" fontId="8" numFmtId="0" xfId="0" applyAlignment="1" applyBorder="1" applyFont="1">
      <alignment readingOrder="0"/>
    </xf>
    <xf borderId="5" fillId="0" fontId="4" numFmtId="0" xfId="0" applyBorder="1" applyFont="1"/>
    <xf borderId="4" fillId="0" fontId="1" numFmtId="164" xfId="0" applyAlignment="1" applyBorder="1" applyFont="1" applyNumberFormat="1">
      <alignment horizontal="center" readingOrder="0" shrinkToFit="0" vertical="bottom" wrapText="1"/>
    </xf>
    <xf borderId="4" fillId="2" fontId="5" numFmtId="2" xfId="0" applyAlignment="1" applyBorder="1" applyFill="1" applyFont="1" applyNumberFormat="1">
      <alignment horizontal="center" readingOrder="0" vertical="bottom"/>
    </xf>
    <xf borderId="4" fillId="0" fontId="1" numFmtId="10" xfId="0" applyAlignment="1" applyBorder="1" applyFont="1" applyNumberFormat="1">
      <alignment horizontal="center" readingOrder="0" shrinkToFit="0" vertical="bottom" wrapText="1"/>
    </xf>
    <xf borderId="0" fillId="0" fontId="9" numFmtId="9" xfId="0" applyAlignment="1" applyFont="1" applyNumberFormat="1">
      <alignment readingOrder="0"/>
    </xf>
    <xf borderId="0" fillId="0" fontId="10" numFmtId="0" xfId="0" applyAlignment="1" applyFont="1">
      <alignment vertical="bottom"/>
    </xf>
    <xf borderId="0" fillId="0" fontId="10" numFmtId="9" xfId="0" applyAlignment="1" applyFont="1" applyNumberFormat="1">
      <alignment horizontal="right" vertical="bottom"/>
    </xf>
    <xf borderId="0" fillId="0" fontId="10" numFmtId="0" xfId="0" applyAlignment="1" applyFont="1">
      <alignment vertical="bottom"/>
    </xf>
    <xf borderId="6" fillId="0" fontId="1" numFmtId="0" xfId="0" applyAlignment="1" applyBorder="1" applyFont="1">
      <alignment horizontal="center" vertical="bottom"/>
    </xf>
    <xf borderId="6" fillId="0" fontId="4" numFmtId="0" xfId="0" applyBorder="1" applyFont="1"/>
    <xf borderId="0" fillId="0" fontId="1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1</xdr:row>
      <xdr:rowOff>28575</xdr:rowOff>
    </xdr:from>
    <xdr:ext cx="962025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343D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5.25"/>
    <col customWidth="1" min="8" max="8" width="52.5"/>
  </cols>
  <sheetData>
    <row r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2</v>
      </c>
      <c r="B9" s="5"/>
      <c r="C9" s="6" t="s">
        <v>3</v>
      </c>
      <c r="D9" s="5"/>
      <c r="E9" s="7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4</v>
      </c>
      <c r="B10" s="5"/>
      <c r="C10" s="8"/>
      <c r="D10" s="8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/>
      <c r="B11" s="7"/>
      <c r="C11" s="7"/>
      <c r="D11" s="7"/>
      <c r="E11" s="7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 t="s">
        <v>5</v>
      </c>
      <c r="B12" s="10"/>
      <c r="C12" s="11" t="s">
        <v>6</v>
      </c>
      <c r="D12" s="11" t="s">
        <v>7</v>
      </c>
      <c r="E12" s="11" t="s">
        <v>8</v>
      </c>
      <c r="F12" s="2"/>
      <c r="G12" s="2"/>
      <c r="H12" s="12"/>
      <c r="I12" s="12"/>
      <c r="J12" s="12"/>
      <c r="K12" s="1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 t="s">
        <v>9</v>
      </c>
      <c r="B13" s="10"/>
      <c r="C13" s="14">
        <f>SUM(C14:C17)</f>
        <v>23</v>
      </c>
      <c r="D13" s="15"/>
      <c r="E13" s="16">
        <f>SUM(E14:E17)</f>
        <v>0</v>
      </c>
      <c r="F13" s="2"/>
      <c r="G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10</v>
      </c>
      <c r="B14" s="10"/>
      <c r="C14" s="18">
        <v>6.0</v>
      </c>
      <c r="D14" s="19"/>
      <c r="E14" s="20"/>
      <c r="F14" s="2"/>
      <c r="G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1" t="s">
        <v>11</v>
      </c>
      <c r="B15" s="10"/>
      <c r="C15" s="18">
        <v>7.0</v>
      </c>
      <c r="D15" s="19"/>
      <c r="E15" s="20"/>
      <c r="F15" s="2"/>
      <c r="G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 t="s">
        <v>12</v>
      </c>
      <c r="B16" s="10"/>
      <c r="C16" s="18">
        <v>6.0</v>
      </c>
      <c r="D16" s="19"/>
      <c r="E16" s="20"/>
      <c r="F16" s="2"/>
      <c r="G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7" t="s">
        <v>13</v>
      </c>
      <c r="B17" s="10"/>
      <c r="C17" s="18">
        <v>4.0</v>
      </c>
      <c r="D17" s="19"/>
      <c r="E17" s="20"/>
      <c r="F17" s="2"/>
      <c r="G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" t="s">
        <v>14</v>
      </c>
      <c r="B18" s="10"/>
      <c r="C18" s="18">
        <v>2.0</v>
      </c>
      <c r="D18" s="19"/>
      <c r="E18" s="20"/>
      <c r="F18" s="2"/>
      <c r="G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7" t="s">
        <v>15</v>
      </c>
      <c r="B19" s="10"/>
      <c r="C19" s="18">
        <v>2.0</v>
      </c>
      <c r="D19" s="19"/>
      <c r="E19" s="20"/>
      <c r="F19" s="2"/>
      <c r="G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1" t="s">
        <v>16</v>
      </c>
      <c r="B20" s="10"/>
      <c r="C20" s="18">
        <v>3.0</v>
      </c>
      <c r="D20" s="19"/>
      <c r="E20" s="20"/>
      <c r="F20" s="2"/>
      <c r="G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 t="s">
        <v>17</v>
      </c>
      <c r="B21" s="10"/>
      <c r="C21" s="22">
        <v>15.0</v>
      </c>
      <c r="D21" s="15"/>
      <c r="E21" s="16">
        <f>SUM(E22:E30)</f>
        <v>0</v>
      </c>
      <c r="F21" s="2"/>
      <c r="G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7" t="s">
        <v>18</v>
      </c>
      <c r="B22" s="10"/>
      <c r="C22" s="18">
        <v>2.0</v>
      </c>
      <c r="D22" s="19"/>
      <c r="E22" s="20"/>
      <c r="F22" s="2"/>
      <c r="G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">
        <v>19</v>
      </c>
      <c r="B23" s="10"/>
      <c r="C23" s="18">
        <v>3.0</v>
      </c>
      <c r="D23" s="19"/>
      <c r="E23" s="20"/>
      <c r="F23" s="2"/>
      <c r="G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7" t="s">
        <v>20</v>
      </c>
      <c r="B24" s="10"/>
      <c r="C24" s="18">
        <v>1.0</v>
      </c>
      <c r="D24" s="19"/>
      <c r="E24" s="20"/>
      <c r="F24" s="2"/>
      <c r="G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 t="s">
        <v>21</v>
      </c>
      <c r="B25" s="10"/>
      <c r="C25" s="18">
        <v>3.0</v>
      </c>
      <c r="D25" s="19"/>
      <c r="E25" s="20"/>
      <c r="F25" s="2"/>
      <c r="G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7" t="s">
        <v>22</v>
      </c>
      <c r="B26" s="10"/>
      <c r="C26" s="18">
        <v>2.0</v>
      </c>
      <c r="D26" s="19"/>
      <c r="E26" s="20"/>
      <c r="F26" s="2"/>
      <c r="G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7" t="s">
        <v>23</v>
      </c>
      <c r="B27" s="10"/>
      <c r="C27" s="18">
        <v>2.0</v>
      </c>
      <c r="D27" s="19"/>
      <c r="E27" s="20"/>
      <c r="F27" s="2"/>
      <c r="G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7" t="s">
        <v>24</v>
      </c>
      <c r="B28" s="10"/>
      <c r="C28" s="18">
        <v>2.0</v>
      </c>
      <c r="D28" s="19"/>
      <c r="E28" s="20"/>
      <c r="F28" s="2"/>
      <c r="G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9" t="s">
        <v>25</v>
      </c>
      <c r="B29" s="10"/>
      <c r="C29" s="22">
        <v>15.0</v>
      </c>
      <c r="D29" s="15"/>
      <c r="E29" s="16">
        <f>SUM(E30:E40)</f>
        <v>0</v>
      </c>
      <c r="F29" s="2"/>
      <c r="G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7" t="s">
        <v>26</v>
      </c>
      <c r="B30" s="10"/>
      <c r="C30" s="18">
        <v>1.0</v>
      </c>
      <c r="D30" s="23"/>
      <c r="E30" s="24"/>
      <c r="F30" s="2"/>
      <c r="G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7" t="s">
        <v>27</v>
      </c>
      <c r="B31" s="10"/>
      <c r="C31" s="18">
        <v>2.0</v>
      </c>
      <c r="D31" s="23"/>
      <c r="E31" s="24"/>
      <c r="F31" s="2"/>
      <c r="G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5" t="s">
        <v>28</v>
      </c>
      <c r="B32" s="26"/>
      <c r="C32" s="18">
        <v>2.0</v>
      </c>
      <c r="D32" s="23"/>
      <c r="E32" s="24"/>
      <c r="F32" s="2"/>
      <c r="G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7" t="s">
        <v>29</v>
      </c>
      <c r="B33" s="10"/>
      <c r="C33" s="18">
        <v>2.0</v>
      </c>
      <c r="D33" s="23"/>
      <c r="E33" s="24"/>
      <c r="F33" s="2"/>
      <c r="G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7" t="s">
        <v>30</v>
      </c>
      <c r="B34" s="10"/>
      <c r="C34" s="18">
        <v>2.0</v>
      </c>
      <c r="D34" s="23"/>
      <c r="E34" s="24"/>
      <c r="F34" s="2"/>
      <c r="G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7" t="s">
        <v>31</v>
      </c>
      <c r="B35" s="10"/>
      <c r="C35" s="18">
        <v>2.0</v>
      </c>
      <c r="D35" s="23"/>
      <c r="E35" s="24"/>
      <c r="F35" s="2"/>
      <c r="G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7" t="s">
        <v>32</v>
      </c>
      <c r="B36" s="10"/>
      <c r="C36" s="18">
        <v>2.0</v>
      </c>
      <c r="D36" s="23"/>
      <c r="E36" s="24"/>
      <c r="F36" s="2"/>
      <c r="G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7" t="s">
        <v>33</v>
      </c>
      <c r="B37" s="10"/>
      <c r="C37" s="18">
        <v>2.0</v>
      </c>
      <c r="D37" s="23"/>
      <c r="E37" s="24"/>
      <c r="F37" s="2"/>
      <c r="G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9" t="s">
        <v>34</v>
      </c>
      <c r="B38" s="10"/>
      <c r="C38" s="14">
        <f>SUM(C39:C42)</f>
        <v>22</v>
      </c>
      <c r="D38" s="15"/>
      <c r="E38" s="16">
        <f>SUM(E39:E42)</f>
        <v>0</v>
      </c>
      <c r="F38" s="2"/>
      <c r="G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7" t="s">
        <v>35</v>
      </c>
      <c r="B39" s="10"/>
      <c r="C39" s="18">
        <v>5.0</v>
      </c>
      <c r="D39" s="23"/>
      <c r="E39" s="24"/>
      <c r="F39" s="2"/>
      <c r="G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7" t="s">
        <v>36</v>
      </c>
      <c r="B40" s="10"/>
      <c r="C40" s="18">
        <v>4.0</v>
      </c>
      <c r="D40" s="23"/>
      <c r="E40" s="24"/>
      <c r="F40" s="2"/>
      <c r="G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" t="s">
        <v>37</v>
      </c>
      <c r="B41" s="10"/>
      <c r="C41" s="18">
        <v>6.0</v>
      </c>
      <c r="D41" s="23"/>
      <c r="E41" s="24"/>
      <c r="F41" s="2"/>
      <c r="G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7" t="s">
        <v>38</v>
      </c>
      <c r="B42" s="10"/>
      <c r="C42" s="18">
        <v>7.0</v>
      </c>
      <c r="D42" s="23"/>
      <c r="E42" s="24"/>
      <c r="F42" s="2"/>
      <c r="G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7" t="s">
        <v>39</v>
      </c>
      <c r="B43" s="10"/>
      <c r="C43" s="27">
        <v>4.0</v>
      </c>
      <c r="D43" s="23"/>
      <c r="E43" s="24"/>
      <c r="F43" s="2"/>
      <c r="G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9" t="s">
        <v>40</v>
      </c>
      <c r="B44" s="10"/>
      <c r="C44" s="22">
        <v>2.0</v>
      </c>
      <c r="D44" s="15"/>
      <c r="E44" s="16">
        <f>SUM(E45:E46)</f>
        <v>0</v>
      </c>
      <c r="F44" s="2"/>
      <c r="G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7" t="s">
        <v>41</v>
      </c>
      <c r="B45" s="10"/>
      <c r="C45" s="27">
        <v>1.0</v>
      </c>
      <c r="D45" s="23"/>
      <c r="E45" s="24"/>
      <c r="F45" s="2"/>
      <c r="G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7" t="s">
        <v>42</v>
      </c>
      <c r="B46" s="10"/>
      <c r="C46" s="27">
        <v>1.0</v>
      </c>
      <c r="D46" s="23"/>
      <c r="E46" s="24"/>
      <c r="F46" s="2"/>
      <c r="G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9" t="s">
        <v>43</v>
      </c>
      <c r="B47" s="10"/>
      <c r="C47" s="22">
        <v>8.0</v>
      </c>
      <c r="D47" s="15"/>
      <c r="E47" s="16">
        <f>SUM(E44,E38,E18,E13)</f>
        <v>0</v>
      </c>
      <c r="F47" s="2"/>
      <c r="G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7" t="s">
        <v>44</v>
      </c>
      <c r="B48" s="10"/>
      <c r="C48" s="27">
        <v>4.0</v>
      </c>
      <c r="D48" s="23"/>
      <c r="E48" s="24"/>
      <c r="F48" s="2"/>
      <c r="G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7" t="s">
        <v>45</v>
      </c>
      <c r="B49" s="10"/>
      <c r="C49" s="27">
        <v>4.0</v>
      </c>
      <c r="D49" s="23"/>
      <c r="E49" s="24"/>
      <c r="F49" s="2"/>
      <c r="G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9" t="s">
        <v>46</v>
      </c>
      <c r="B50" s="10"/>
      <c r="C50" s="22">
        <v>100.0</v>
      </c>
      <c r="D50" s="15"/>
      <c r="E50" s="28">
        <v>0.0</v>
      </c>
      <c r="F50" s="2"/>
      <c r="G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9" t="s">
        <v>47</v>
      </c>
      <c r="B51" s="10"/>
      <c r="C51" s="22"/>
      <c r="D51" s="15"/>
      <c r="E51" s="16"/>
      <c r="F51" s="2"/>
      <c r="G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7" t="s">
        <v>48</v>
      </c>
      <c r="B52" s="10"/>
      <c r="C52" s="29">
        <v>-0.1</v>
      </c>
      <c r="D52" s="23"/>
      <c r="E52" s="24"/>
      <c r="F52" s="2"/>
      <c r="G52" s="2"/>
      <c r="I52" s="30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7" t="s">
        <v>49</v>
      </c>
      <c r="B53" s="10"/>
      <c r="C53" s="29">
        <v>-1.0</v>
      </c>
      <c r="D53" s="23"/>
      <c r="E53" s="24"/>
      <c r="F53" s="2"/>
      <c r="G53" s="2"/>
      <c r="I53" s="30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7" t="s">
        <v>50</v>
      </c>
      <c r="B54" s="10"/>
      <c r="C54" s="29">
        <v>-0.4</v>
      </c>
      <c r="D54" s="23"/>
      <c r="E54" s="24"/>
      <c r="F54" s="2"/>
      <c r="G54" s="2"/>
      <c r="I54" s="3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7" t="s">
        <v>51</v>
      </c>
      <c r="B55" s="10"/>
      <c r="C55" s="29">
        <v>-0.1</v>
      </c>
      <c r="D55" s="23"/>
      <c r="E55" s="24"/>
      <c r="F55" s="2"/>
      <c r="G55" s="2"/>
      <c r="I55" s="30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7" t="s">
        <v>52</v>
      </c>
      <c r="B56" s="10"/>
      <c r="C56" s="29">
        <v>-0.1</v>
      </c>
      <c r="D56" s="23"/>
      <c r="E56" s="24"/>
      <c r="F56" s="2"/>
      <c r="G56" s="2"/>
      <c r="H56" s="31"/>
      <c r="I56" s="32"/>
      <c r="J56" s="33"/>
      <c r="K56" s="33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7" t="s">
        <v>53</v>
      </c>
      <c r="B57" s="10"/>
      <c r="C57" s="29">
        <v>-1.0</v>
      </c>
      <c r="D57" s="23"/>
      <c r="E57" s="24"/>
      <c r="F57" s="2"/>
      <c r="G57" s="2"/>
      <c r="H57" s="31"/>
      <c r="I57" s="32"/>
      <c r="J57" s="33"/>
      <c r="K57" s="33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9" t="s">
        <v>54</v>
      </c>
      <c r="B58" s="10"/>
      <c r="C58" s="22">
        <v>100.0</v>
      </c>
      <c r="D58" s="15"/>
      <c r="E58" s="28">
        <v>0.0</v>
      </c>
      <c r="F58" s="2"/>
      <c r="G58" s="2"/>
      <c r="H58" s="33"/>
      <c r="I58" s="32"/>
      <c r="J58" s="33"/>
      <c r="K58" s="33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/>
      <c r="B59" s="8"/>
      <c r="C59" s="7"/>
      <c r="D59" s="5"/>
      <c r="E59" s="8"/>
      <c r="F59" s="2"/>
      <c r="G59" s="2"/>
      <c r="I59" s="30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4" t="s">
        <v>55</v>
      </c>
      <c r="B60" s="35"/>
      <c r="C60" s="7"/>
      <c r="D60" s="34" t="s">
        <v>56</v>
      </c>
      <c r="E60" s="35"/>
      <c r="F60" s="2"/>
      <c r="G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/>
      <c r="B61" s="7"/>
      <c r="C61" s="7"/>
      <c r="D61" s="7"/>
      <c r="E61" s="7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 t="s">
        <v>57</v>
      </c>
      <c r="B62" s="7"/>
      <c r="C62" s="7" t="s">
        <v>58</v>
      </c>
      <c r="D62" s="7"/>
      <c r="E62" s="7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6"/>
      <c r="B63" s="36"/>
      <c r="C63" s="36"/>
      <c r="D63" s="36"/>
      <c r="E63" s="3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6"/>
      <c r="B64" s="36"/>
      <c r="C64" s="36"/>
      <c r="D64" s="36"/>
      <c r="E64" s="3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6"/>
      <c r="B65" s="36"/>
      <c r="C65" s="36"/>
      <c r="D65" s="36"/>
      <c r="E65" s="3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54">
    <mergeCell ref="A1:E6"/>
    <mergeCell ref="A7:E8"/>
    <mergeCell ref="B10:D10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8:B58"/>
    <mergeCell ref="A59:B59"/>
    <mergeCell ref="D59:E59"/>
    <mergeCell ref="A60:B60"/>
    <mergeCell ref="D60:E60"/>
    <mergeCell ref="A51:B51"/>
    <mergeCell ref="A52:B52"/>
    <mergeCell ref="A53:B53"/>
    <mergeCell ref="A54:B54"/>
    <mergeCell ref="A55:B55"/>
    <mergeCell ref="A56:B56"/>
    <mergeCell ref="A57:B57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