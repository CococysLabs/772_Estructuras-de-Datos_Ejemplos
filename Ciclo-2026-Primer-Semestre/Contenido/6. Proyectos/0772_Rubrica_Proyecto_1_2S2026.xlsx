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" sheetId="1" r:id="rId5"/>
  </sheets>
  <definedNames/>
  <calcPr/>
</workbook>
</file>

<file path=xl/sharedStrings.xml><?xml version="1.0" encoding="utf-8"?>
<sst xmlns="http://schemas.openxmlformats.org/spreadsheetml/2006/main" count="60" uniqueCount="57">
  <si>
    <t xml:space="preserve">Universidad de San Carlos de Guatemala
Facultad de Ingeniería
Escuela de Ciencias y Sistemas
Estructura de Datos 
</t>
  </si>
  <si>
    <t>Ing. Alvaro Obrayan
Ing. Edgar Ornelis
Ing. Luis Espino</t>
  </si>
  <si>
    <t>Auxiliar: Jens Pablo 
Auxiliar: Giovanni Concohá
Auxiliar: Sergio Sandoval</t>
  </si>
  <si>
    <t>Hoja de calificacion - Proyecto Fase 1</t>
  </si>
  <si>
    <t>Fecha:</t>
  </si>
  <si>
    <t>Carné:</t>
  </si>
  <si>
    <t>Nombre:</t>
  </si>
  <si>
    <t>Descripción de ponderación</t>
  </si>
  <si>
    <t>Valor</t>
  </si>
  <si>
    <t>Observaciones</t>
  </si>
  <si>
    <t>Puntero</t>
  </si>
  <si>
    <t>Implementación de Estructuras de Datos</t>
  </si>
  <si>
    <t>Árbol Binario de Busqueda (Cartelera)</t>
  </si>
  <si>
    <t>Lista Circular Doblemente Enlazada (Solicitudes Especiales)</t>
  </si>
  <si>
    <t>Lista Circular de Listas (Promociones y Beneficios)</t>
  </si>
  <si>
    <t>Matriz Dispersa (Mapa de Asientos por Función)</t>
  </si>
  <si>
    <t>Funcionalidades del Sistema, Administrador</t>
  </si>
  <si>
    <t>Gestión de películas en cartelera</t>
  </si>
  <si>
    <t>Carga Masiva de Películas</t>
  </si>
  <si>
    <t>Gestionar Promociones Especiales</t>
  </si>
  <si>
    <t>Agregar beneficios a las promociones</t>
  </si>
  <si>
    <t>Gestionar Solicitudes Especiales de Clientes (Pendiente, En proceso, Atendida, Rechazada)</t>
  </si>
  <si>
    <t>Visualizar Cartelera Completa</t>
  </si>
  <si>
    <t>Alertas sobre películas próximas a salir de cartelera</t>
  </si>
  <si>
    <t>Asignación de Función en sala</t>
  </si>
  <si>
    <t>Visualizar Todas las funciones</t>
  </si>
  <si>
    <t>Eliminar una función</t>
  </si>
  <si>
    <t>Visualizar el estado de una función</t>
  </si>
  <si>
    <t>Funcionalidades del Cliente</t>
  </si>
  <si>
    <t>Ver toda la cartelera disponible</t>
  </si>
  <si>
    <t>Buscar películas por código</t>
  </si>
  <si>
    <t>Realizar Reserva de asiento</t>
  </si>
  <si>
    <t>Cancelar reserva</t>
  </si>
  <si>
    <t>Consultar promociones activas</t>
  </si>
  <si>
    <t>Realizar Solicitud Especial</t>
  </si>
  <si>
    <t>Visualizar Estado de Solicitudes</t>
  </si>
  <si>
    <t>Reportes Gráficos con Graphviz</t>
  </si>
  <si>
    <t>Árbol Binario de busqueda (Cartelera de Películas)</t>
  </si>
  <si>
    <t>Documentación</t>
  </si>
  <si>
    <t>Manual técnico</t>
  </si>
  <si>
    <t>Preguntas</t>
  </si>
  <si>
    <t>Pregunta 1</t>
  </si>
  <si>
    <t>Pregunta 2</t>
  </si>
  <si>
    <t>Modificación de código durante la calificación</t>
  </si>
  <si>
    <t>Puntuación Total</t>
  </si>
  <si>
    <t>Condiciones de aceptación</t>
  </si>
  <si>
    <t xml:space="preserve">Utilizar el lenguaje C++ </t>
  </si>
  <si>
    <t>El proyecto deberá cumplir con las siguientes condiciones para ser aceptado y considerado para evaluación. El incumplimiento de cualquiera de estas condiciones podrá ocasionar que el proyecto no sea aceptado para calificación.</t>
  </si>
  <si>
    <t>Implementar manualmente la estructura</t>
  </si>
  <si>
    <t>Presentarse puntualmente en la calificación</t>
  </si>
  <si>
    <t>Los reportes se pueden visualizar desde la interfaz</t>
  </si>
  <si>
    <t>Entregar su repositorio en UEDI</t>
  </si>
  <si>
    <t>Agregar al auxiliar al repositorio</t>
  </si>
  <si>
    <t>Firma del estudiante</t>
  </si>
  <si>
    <t>Firma del auxiliar</t>
  </si>
  <si>
    <t>Origianal Estudiante</t>
  </si>
  <si>
    <t>Copia tutor Académico 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</si>
</sst>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  <font>
      <b/>
      <sz val="19.0"/>
      <color theme="1"/>
      <name val="Times New Roman"/>
    </font>
    <font/>
    <font>
      <b/>
      <sz val="12.0"/>
      <color rgb="FFFFFFFF"/>
      <name val="Times New Roman"/>
    </font>
    <font>
      <b/>
      <color theme="1"/>
      <name val="Arial"/>
      <scheme val="minor"/>
    </font>
    <font>
      <sz val="12.0"/>
      <color rgb="FFFFFFFF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0" fontId="4" numFmtId="0" xfId="0" applyBorder="1" applyFont="1"/>
    <xf borderId="2" fillId="2" fontId="5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/>
    </xf>
    <xf borderId="2" fillId="2" fontId="5" numFmtId="0" xfId="0" applyAlignment="1" applyBorder="1" applyFill="1" applyFont="1">
      <alignment horizontal="center" readingOrder="0" shrinkToFit="0" vertical="bottom" wrapText="1"/>
    </xf>
    <xf borderId="4" fillId="2" fontId="5" numFmtId="1" xfId="0" applyAlignment="1" applyBorder="1" applyFill="1" applyFont="1" applyNumberFormat="1">
      <alignment horizontal="center" shrinkToFit="0" vertical="bottom" wrapText="1"/>
    </xf>
    <xf borderId="4" fillId="2" fontId="7" numFmtId="0" xfId="0" applyAlignment="1" applyBorder="1" applyFill="1" applyFont="1">
      <alignment vertical="bottom"/>
    </xf>
    <xf borderId="4" fillId="2" fontId="5" numFmtId="2" xfId="0" applyAlignment="1" applyBorder="1" applyFill="1" applyFont="1" applyNumberFormat="1">
      <alignment horizontal="center" vertical="bottom"/>
    </xf>
    <xf borderId="2" fillId="0" fontId="1" numFmtId="0" xfId="0" applyAlignment="1" applyBorder="1" applyFont="1">
      <alignment readingOrder="0" vertical="bottom"/>
    </xf>
    <xf borderId="4" fillId="0" fontId="1" numFmtId="1" xfId="0" applyAlignment="1" applyBorder="1" applyFont="1" applyNumberFormat="1">
      <alignment horizontal="center" readingOrder="0" shrinkToFit="0" vertical="bottom" wrapText="1"/>
    </xf>
    <xf borderId="4" fillId="0" fontId="1" numFmtId="1" xfId="0" applyAlignment="1" applyBorder="1" applyFont="1" applyNumberFormat="1">
      <alignment vertical="bottom"/>
    </xf>
    <xf borderId="4" fillId="0" fontId="1" numFmtId="1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readingOrder="0" shrinkToFit="0" vertical="bottom" wrapText="1"/>
    </xf>
    <xf borderId="2" fillId="2" fontId="5" numFmtId="0" xfId="0" applyAlignment="1" applyBorder="1" applyFill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2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readingOrder="0"/>
    </xf>
    <xf borderId="5" fillId="0" fontId="4" numFmtId="0" xfId="0" applyBorder="1" applyFont="1"/>
    <xf borderId="4" fillId="0" fontId="1" numFmtId="164" xfId="0" applyAlignment="1" applyBorder="1" applyFont="1" applyNumberFormat="1">
      <alignment horizontal="center" readingOrder="0" shrinkToFit="0" vertical="bottom" wrapText="1"/>
    </xf>
    <xf borderId="4" fillId="0" fontId="1" numFmtId="0" xfId="0" applyAlignment="1" applyBorder="1" applyFont="1">
      <alignment readingOrder="0" vertical="bottom"/>
    </xf>
    <xf borderId="2" fillId="3" fontId="5" numFmtId="0" xfId="0" applyAlignment="1" applyBorder="1" applyFill="1" applyFont="1">
      <alignment horizontal="center" readingOrder="0" vertical="bottom"/>
    </xf>
    <xf borderId="6" fillId="0" fontId="4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0" fillId="0" fontId="9" numFmtId="9" xfId="0" applyAlignment="1" applyFont="1" applyNumberFormat="1">
      <alignment readingOrder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8" fillId="0" fontId="1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161925</xdr:rowOff>
    </xdr:from>
    <xdr:ext cx="1285875" cy="1285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5.25"/>
    <col customWidth="1" min="5" max="5" width="11.0"/>
    <col customWidth="1" min="7" max="7" width="45.7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</v>
      </c>
      <c r="B6" s="5"/>
      <c r="C6" s="6" t="s">
        <v>5</v>
      </c>
      <c r="D6" s="5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B7" s="5"/>
      <c r="C7" s="8"/>
      <c r="D7" s="8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7"/>
      <c r="C8" s="7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7</v>
      </c>
      <c r="B9" s="10"/>
      <c r="C9" s="11" t="s">
        <v>8</v>
      </c>
      <c r="D9" s="11" t="s">
        <v>9</v>
      </c>
      <c r="E9" s="11" t="s">
        <v>10</v>
      </c>
      <c r="F9" s="2"/>
      <c r="H9" s="12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11</v>
      </c>
      <c r="B10" s="10"/>
      <c r="C10" s="14">
        <f>SUM(C11:C14)</f>
        <v>40</v>
      </c>
      <c r="D10" s="15"/>
      <c r="E10" s="16">
        <f>SUM(E11:E14)</f>
        <v>0</v>
      </c>
      <c r="F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12</v>
      </c>
      <c r="B11" s="10"/>
      <c r="C11" s="18">
        <v>10.0</v>
      </c>
      <c r="D11" s="19"/>
      <c r="E11" s="20"/>
      <c r="F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 t="s">
        <v>13</v>
      </c>
      <c r="B12" s="10"/>
      <c r="C12" s="18">
        <v>9.0</v>
      </c>
      <c r="D12" s="19"/>
      <c r="E12" s="20"/>
      <c r="F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14</v>
      </c>
      <c r="B13" s="10"/>
      <c r="C13" s="18">
        <v>9.0</v>
      </c>
      <c r="D13" s="19"/>
      <c r="E13" s="20"/>
      <c r="F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15</v>
      </c>
      <c r="B14" s="10"/>
      <c r="C14" s="18">
        <v>12.0</v>
      </c>
      <c r="D14" s="19"/>
      <c r="E14" s="20"/>
      <c r="F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 t="s">
        <v>16</v>
      </c>
      <c r="B15" s="10"/>
      <c r="C15" s="14">
        <f>SUM(C16:C26)</f>
        <v>19</v>
      </c>
      <c r="D15" s="15"/>
      <c r="E15" s="16">
        <f>SUM(E16:E26)</f>
        <v>0</v>
      </c>
      <c r="F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17</v>
      </c>
      <c r="B16" s="10"/>
      <c r="C16" s="18">
        <v>2.0</v>
      </c>
      <c r="D16" s="19"/>
      <c r="E16" s="20"/>
      <c r="F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1" t="s">
        <v>18</v>
      </c>
      <c r="B17" s="10"/>
      <c r="C17" s="18">
        <v>1.0</v>
      </c>
      <c r="D17" s="19"/>
      <c r="E17" s="20"/>
      <c r="F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1" t="s">
        <v>19</v>
      </c>
      <c r="B18" s="10"/>
      <c r="C18" s="18">
        <v>1.0</v>
      </c>
      <c r="D18" s="19"/>
      <c r="E18" s="20"/>
      <c r="F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1" t="s">
        <v>20</v>
      </c>
      <c r="B19" s="10"/>
      <c r="C19" s="18">
        <v>3.0</v>
      </c>
      <c r="D19" s="19"/>
      <c r="E19" s="20"/>
      <c r="F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1" t="s">
        <v>21</v>
      </c>
      <c r="B20" s="10"/>
      <c r="C20" s="18">
        <v>3.0</v>
      </c>
      <c r="D20" s="19"/>
      <c r="E20" s="20"/>
      <c r="F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">
        <v>22</v>
      </c>
      <c r="B21" s="10"/>
      <c r="C21" s="18">
        <v>1.0</v>
      </c>
      <c r="D21" s="19"/>
      <c r="E21" s="20"/>
      <c r="F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 t="s">
        <v>23</v>
      </c>
      <c r="B22" s="10"/>
      <c r="C22" s="18">
        <v>2.0</v>
      </c>
      <c r="D22" s="19"/>
      <c r="E22" s="20"/>
      <c r="F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24</v>
      </c>
      <c r="B23" s="10"/>
      <c r="C23" s="18">
        <v>2.0</v>
      </c>
      <c r="D23" s="19"/>
      <c r="E23" s="20"/>
      <c r="F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 t="s">
        <v>25</v>
      </c>
      <c r="B24" s="10"/>
      <c r="C24" s="18">
        <v>1.0</v>
      </c>
      <c r="D24" s="19"/>
      <c r="E24" s="20"/>
      <c r="F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26</v>
      </c>
      <c r="B25" s="10"/>
      <c r="C25" s="18">
        <v>2.0</v>
      </c>
      <c r="D25" s="19"/>
      <c r="E25" s="20"/>
      <c r="F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 t="s">
        <v>27</v>
      </c>
      <c r="B26" s="10"/>
      <c r="C26" s="18">
        <v>1.0</v>
      </c>
      <c r="D26" s="19"/>
      <c r="E26" s="20"/>
      <c r="F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2" t="s">
        <v>28</v>
      </c>
      <c r="B27" s="10"/>
      <c r="C27" s="14">
        <f>SUM(C28:C34)</f>
        <v>12</v>
      </c>
      <c r="D27" s="15"/>
      <c r="E27" s="16">
        <f>SUM(E28:E34)</f>
        <v>0</v>
      </c>
      <c r="F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 t="s">
        <v>29</v>
      </c>
      <c r="B28" s="10"/>
      <c r="C28" s="18">
        <v>1.0</v>
      </c>
      <c r="D28" s="23"/>
      <c r="E28" s="24"/>
      <c r="F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5" t="s">
        <v>30</v>
      </c>
      <c r="B29" s="26"/>
      <c r="C29" s="18">
        <v>1.0</v>
      </c>
      <c r="D29" s="23"/>
      <c r="E29" s="24"/>
      <c r="F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 t="s">
        <v>31</v>
      </c>
      <c r="B30" s="10"/>
      <c r="C30" s="18">
        <v>2.0</v>
      </c>
      <c r="D30" s="23"/>
      <c r="E30" s="24"/>
      <c r="F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 t="s">
        <v>32</v>
      </c>
      <c r="B31" s="10"/>
      <c r="C31" s="18">
        <v>2.0</v>
      </c>
      <c r="D31" s="23"/>
      <c r="E31" s="24"/>
      <c r="F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 t="s">
        <v>33</v>
      </c>
      <c r="B32" s="10"/>
      <c r="C32" s="18">
        <v>2.0</v>
      </c>
      <c r="D32" s="23"/>
      <c r="E32" s="24"/>
      <c r="F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 t="s">
        <v>34</v>
      </c>
      <c r="B33" s="10"/>
      <c r="C33" s="18">
        <v>2.0</v>
      </c>
      <c r="D33" s="23"/>
      <c r="E33" s="24"/>
      <c r="F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 t="s">
        <v>35</v>
      </c>
      <c r="B34" s="10"/>
      <c r="C34" s="18">
        <v>2.0</v>
      </c>
      <c r="D34" s="23"/>
      <c r="E34" s="24"/>
      <c r="F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2" t="s">
        <v>36</v>
      </c>
      <c r="B35" s="10"/>
      <c r="C35" s="14">
        <f>SUM(C36:C39)</f>
        <v>18</v>
      </c>
      <c r="D35" s="15"/>
      <c r="E35" s="16">
        <f>SUM(E36:E39)</f>
        <v>0</v>
      </c>
      <c r="F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 t="s">
        <v>37</v>
      </c>
      <c r="B36" s="10"/>
      <c r="C36" s="18">
        <v>5.0</v>
      </c>
      <c r="D36" s="23"/>
      <c r="E36" s="24"/>
      <c r="F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 t="s">
        <v>13</v>
      </c>
      <c r="B37" s="10"/>
      <c r="C37" s="18">
        <v>3.0</v>
      </c>
      <c r="D37" s="23"/>
      <c r="E37" s="24"/>
      <c r="F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" t="s">
        <v>14</v>
      </c>
      <c r="B38" s="10"/>
      <c r="C38" s="18">
        <v>2.0</v>
      </c>
      <c r="D38" s="23"/>
      <c r="E38" s="24"/>
      <c r="F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 t="s">
        <v>15</v>
      </c>
      <c r="B39" s="10"/>
      <c r="C39" s="18">
        <v>8.0</v>
      </c>
      <c r="D39" s="23"/>
      <c r="E39" s="24"/>
      <c r="F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2" t="s">
        <v>38</v>
      </c>
      <c r="B40" s="10"/>
      <c r="C40" s="14">
        <f>SUM(C41)</f>
        <v>1</v>
      </c>
      <c r="D40" s="15"/>
      <c r="E40" s="16">
        <f>SUM(E41)</f>
        <v>0</v>
      </c>
      <c r="F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 t="s">
        <v>39</v>
      </c>
      <c r="B41" s="10"/>
      <c r="C41" s="27">
        <v>1.0</v>
      </c>
      <c r="D41" s="23"/>
      <c r="E41" s="24"/>
      <c r="F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2" t="s">
        <v>40</v>
      </c>
      <c r="B42" s="10"/>
      <c r="C42" s="14">
        <f>SUM(C43:C45)</f>
        <v>10</v>
      </c>
      <c r="D42" s="15"/>
      <c r="E42" s="16">
        <f>SUM(E43:E44)</f>
        <v>0</v>
      </c>
      <c r="F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7" t="s">
        <v>41</v>
      </c>
      <c r="B43" s="10"/>
      <c r="C43" s="27">
        <v>3.0</v>
      </c>
      <c r="D43" s="23"/>
      <c r="E43" s="24"/>
      <c r="F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 t="s">
        <v>42</v>
      </c>
      <c r="B44" s="10"/>
      <c r="C44" s="27">
        <v>3.0</v>
      </c>
      <c r="D44" s="23"/>
      <c r="E44" s="24"/>
      <c r="F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8" t="s">
        <v>43</v>
      </c>
      <c r="B45" s="28"/>
      <c r="C45" s="27">
        <v>4.0</v>
      </c>
      <c r="D45" s="23"/>
      <c r="E45" s="24"/>
      <c r="F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2" t="s">
        <v>44</v>
      </c>
      <c r="B46" s="10"/>
      <c r="C46" s="14">
        <f>SUM(C42,C40,C35,C27,C15,C10)</f>
        <v>100</v>
      </c>
      <c r="D46" s="15"/>
      <c r="E46" s="16">
        <f>SUM(E42,E40,E35,E27,E15,E10)</f>
        <v>0</v>
      </c>
      <c r="F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9" t="s">
        <v>45</v>
      </c>
      <c r="B47" s="30"/>
      <c r="C47" s="30"/>
      <c r="D47" s="30"/>
      <c r="E47" s="10"/>
      <c r="F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7" t="s">
        <v>46</v>
      </c>
      <c r="B48" s="10"/>
      <c r="C48" s="31" t="s">
        <v>47</v>
      </c>
      <c r="D48" s="32"/>
      <c r="E48" s="33"/>
      <c r="F48" s="2"/>
      <c r="H48" s="3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 t="s">
        <v>48</v>
      </c>
      <c r="B49" s="10"/>
      <c r="C49" s="35"/>
      <c r="E49" s="36"/>
      <c r="F49" s="2"/>
      <c r="H49" s="3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7" t="s">
        <v>49</v>
      </c>
      <c r="B50" s="10"/>
      <c r="C50" s="35"/>
      <c r="E50" s="36"/>
      <c r="F50" s="2"/>
      <c r="H50" s="3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7" t="s">
        <v>50</v>
      </c>
      <c r="B51" s="10"/>
      <c r="C51" s="35"/>
      <c r="E51" s="36"/>
      <c r="F51" s="2"/>
      <c r="H51" s="3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7" t="s">
        <v>51</v>
      </c>
      <c r="B52" s="10"/>
      <c r="C52" s="35"/>
      <c r="E52" s="36"/>
      <c r="F52" s="2"/>
      <c r="H52" s="3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7" t="s">
        <v>52</v>
      </c>
      <c r="B53" s="10"/>
      <c r="C53" s="37"/>
      <c r="D53" s="8"/>
      <c r="E53" s="26"/>
      <c r="F53" s="2"/>
      <c r="H53" s="3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7"/>
      <c r="C54" s="7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7"/>
      <c r="C55" s="7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8"/>
      <c r="C56" s="7"/>
      <c r="D56" s="5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8" t="s">
        <v>53</v>
      </c>
      <c r="B57" s="32"/>
      <c r="C57" s="7"/>
      <c r="D57" s="38" t="s">
        <v>54</v>
      </c>
      <c r="E57" s="3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7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 t="s">
        <v>55</v>
      </c>
      <c r="B59" s="7" t="s">
        <v>56</v>
      </c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9"/>
      <c r="B60" s="39"/>
      <c r="C60" s="39"/>
      <c r="D60" s="39"/>
      <c r="E60" s="3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9"/>
      <c r="B61" s="39"/>
      <c r="C61" s="39"/>
      <c r="D61" s="39"/>
      <c r="E61" s="3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9"/>
      <c r="B62" s="39"/>
      <c r="C62" s="39"/>
      <c r="D62" s="39"/>
      <c r="E62" s="3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52">
    <mergeCell ref="A52:B52"/>
    <mergeCell ref="A53:B53"/>
    <mergeCell ref="A56:B56"/>
    <mergeCell ref="A57:B57"/>
    <mergeCell ref="D56:E56"/>
    <mergeCell ref="D57:E57"/>
    <mergeCell ref="A41:B41"/>
    <mergeCell ref="A42:B42"/>
    <mergeCell ref="A43:B43"/>
    <mergeCell ref="A44:B44"/>
    <mergeCell ref="A46:B46"/>
    <mergeCell ref="A47:E47"/>
    <mergeCell ref="C48:E53"/>
    <mergeCell ref="A1:E1"/>
    <mergeCell ref="A4:E5"/>
    <mergeCell ref="B7:D7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8:B48"/>
    <mergeCell ref="A49:B49"/>
    <mergeCell ref="A50:B50"/>
    <mergeCell ref="A51:B51"/>
  </mergeCells>
  <printOptions horizontalCentered="1" verticalCentered="1"/>
  <pageMargins bottom="0.75" footer="0.0" header="0.0" left="0.25" right="0.25" top="0.75"/>
  <pageSetup fitToHeight="0" orientation="portrait"/>
  <drawing r:id="rId1"/>
</worksheet>
</file>