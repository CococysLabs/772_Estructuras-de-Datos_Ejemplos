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ferencia" sheetId="1" r:id="rId5"/>
  </sheets>
  <definedNames/>
  <calcPr/>
</workbook>
</file>

<file path=xl/sharedStrings.xml><?xml version="1.0" encoding="utf-8"?>
<sst xmlns="http://schemas.openxmlformats.org/spreadsheetml/2006/main" count="61" uniqueCount="58">
  <si>
    <t xml:space="preserve">Universidad de San Carlos de Guatemala
Facultad de Ingeniería
Escuela de Ciencias y Sistemas
Estructura de Datos 
</t>
  </si>
  <si>
    <t>Ing. Alvaro Obrayan
Ing. Edgar Ornelis
Ing. Luis Espino</t>
  </si>
  <si>
    <t>Auxiliar: Jens Pablo 
Auxiliar: Giovanni Concohá
Auxiliar: Sergio Sandoval</t>
  </si>
  <si>
    <t>Hoja de calificacion - Proyecto Fase 2</t>
  </si>
  <si>
    <t>Fecha:</t>
  </si>
  <si>
    <t>Carné:</t>
  </si>
  <si>
    <t>Nombre:</t>
  </si>
  <si>
    <t>Descripción de ponderación</t>
  </si>
  <si>
    <t>Valor</t>
  </si>
  <si>
    <t>Observaciones</t>
  </si>
  <si>
    <t>Puntero</t>
  </si>
  <si>
    <t>Implementación de Estructuras de Datos</t>
  </si>
  <si>
    <t>Árbol Binario de Busqueda (Cartelera)</t>
  </si>
  <si>
    <t>Árbol AVL (Funciones)</t>
  </si>
  <si>
    <t>Árbol B orden 4 (Usuarios</t>
  </si>
  <si>
    <t>Tabla hash (reservas)</t>
  </si>
  <si>
    <t>Matriz Dispersa (Mapa de Asientos por Función)</t>
  </si>
  <si>
    <t>Funcionalidades del Sistema, Administrador</t>
  </si>
  <si>
    <t>Carga Masiva de Películas y Funciones</t>
  </si>
  <si>
    <t>Gestionar películas, agregar y editar</t>
  </si>
  <si>
    <t>Gestionar películas, eliminar</t>
  </si>
  <si>
    <t>Gestionar peliculas, listar inorden, preorden, postorden</t>
  </si>
  <si>
    <t>Notificación de que la película esta proxima a salir de la cartelera</t>
  </si>
  <si>
    <t>Gestionar función, agregar y editar</t>
  </si>
  <si>
    <t>Gestionar función, eliminar y buscar</t>
  </si>
  <si>
    <t>Carga masiva clientes y reservas</t>
  </si>
  <si>
    <t>Gestionar funciones, listar inorden, preorden, postorden</t>
  </si>
  <si>
    <t>Ver reservas por clientes</t>
  </si>
  <si>
    <t>Funcionalidades del Cliente</t>
  </si>
  <si>
    <t>Registro de usuario</t>
  </si>
  <si>
    <t>Edición para un usuario</t>
  </si>
  <si>
    <t>Reservar asiento</t>
  </si>
  <si>
    <t>Ver historial de reservas</t>
  </si>
  <si>
    <t>cancelar reservas</t>
  </si>
  <si>
    <t>Reportes Gráficos con Graphviz</t>
  </si>
  <si>
    <t>Árbol Binario de busqueda (Cartelera de Películas)</t>
  </si>
  <si>
    <t>TAbla hash (reservas)</t>
  </si>
  <si>
    <t>Documentación</t>
  </si>
  <si>
    <t>Manual técnico</t>
  </si>
  <si>
    <t>Manual de usuario</t>
  </si>
  <si>
    <t>Manejo de errores</t>
  </si>
  <si>
    <t>Pregunta 1</t>
  </si>
  <si>
    <t>Pregunta 2</t>
  </si>
  <si>
    <t>Modificación de código durante la calificación</t>
  </si>
  <si>
    <t>Puntuación Total</t>
  </si>
  <si>
    <t>Condiciones de aceptación</t>
  </si>
  <si>
    <t xml:space="preserve">Utilizar el lenguaje C++ </t>
  </si>
  <si>
    <t>El proyecto deberá cumplir con las siguientes condiciones para ser aceptado y considerado para evaluación. El incumplimiento de cualquiera de estas condiciones podrá ocasionar que el proyecto no sea aceptado para calificación.</t>
  </si>
  <si>
    <t>Implementar manualmente la estructura</t>
  </si>
  <si>
    <t>Presentarse puntualmente en la calificación</t>
  </si>
  <si>
    <t>Los reportes se pueden visualizar desde la interfaz</t>
  </si>
  <si>
    <t>El proyecto tiene interfaz grafica.</t>
  </si>
  <si>
    <t>Entregar su repositorio en UEDI</t>
  </si>
  <si>
    <t>Agregar al auxiliar al repositorio</t>
  </si>
  <si>
    <t>Firma del estudiante</t>
  </si>
  <si>
    <t>Firma del auxiliar</t>
  </si>
  <si>
    <t>Origianal Estudiante</t>
  </si>
  <si>
    <t>Copia tutor Académico (a entregar a coordinación DTT-ECYS)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</si>
</sst>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7">
    <font>
      <sz val="10.0"/>
      <color rgb="FF000000"/>
      <name val="Arial"/>
      <scheme val="minor"/>
    </font>
    <font>
      <sz val="12.0"/>
      <color theme="1"/>
      <name val="Times New Roman"/>
    </font>
    <font>
      <color theme="1"/>
      <name val="Arial"/>
    </font>
    <font>
      <b/>
      <sz val="19.0"/>
      <color theme="1"/>
      <name val="Times New Roman"/>
    </font>
    <font/>
    <font>
      <b/>
      <sz val="12.0"/>
      <color rgb="FFFFFFFF"/>
      <name val="Times New Roman"/>
    </font>
    <font>
      <sz val="12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34F5C"/>
        <bgColor rgb="FF134F5C"/>
      </patternFill>
    </fill>
    <fill>
      <patternFill patternType="solid">
        <fgColor rgb="FF45818E"/>
        <bgColor rgb="FF45818E"/>
      </patternFill>
    </fill>
  </fills>
  <borders count="13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top"/>
    </xf>
    <xf borderId="0" fillId="0" fontId="3" numFmtId="0" xfId="0" applyAlignment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1" fillId="0" fontId="2" numFmtId="0" xfId="0" applyAlignment="1" applyBorder="1" applyFont="1">
      <alignment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1" fillId="0" fontId="4" numFmtId="0" xfId="0" applyBorder="1" applyFont="1"/>
    <xf borderId="2" fillId="2" fontId="5" numFmtId="0" xfId="0" applyAlignment="1" applyBorder="1" applyFill="1" applyFont="1">
      <alignment horizontal="center" vertical="center"/>
    </xf>
    <xf borderId="3" fillId="0" fontId="4" numFmtId="0" xfId="0" applyBorder="1" applyFont="1"/>
    <xf borderId="4" fillId="2" fontId="5" numFmtId="0" xfId="0" applyAlignment="1" applyBorder="1" applyFill="1" applyFont="1">
      <alignment horizontal="center" vertical="center"/>
    </xf>
    <xf borderId="2" fillId="2" fontId="5" numFmtId="0" xfId="0" applyAlignment="1" applyBorder="1" applyFill="1" applyFont="1">
      <alignment horizontal="center" shrinkToFit="0" vertical="center" wrapText="1"/>
    </xf>
    <xf borderId="4" fillId="2" fontId="5" numFmtId="1" xfId="0" applyAlignment="1" applyBorder="1" applyFill="1" applyFont="1" applyNumberFormat="1">
      <alignment horizontal="center" shrinkToFit="0" vertical="center" wrapText="1"/>
    </xf>
    <xf borderId="4" fillId="2" fontId="2" numFmtId="0" xfId="0" applyAlignment="1" applyBorder="1" applyFill="1" applyFont="1">
      <alignment vertical="center"/>
    </xf>
    <xf borderId="4" fillId="2" fontId="5" numFmtId="2" xfId="0" applyAlignment="1" applyBorder="1" applyFill="1" applyFont="1" applyNumberFormat="1">
      <alignment horizontal="center" vertical="center"/>
    </xf>
    <xf borderId="2" fillId="0" fontId="1" numFmtId="0" xfId="0" applyAlignment="1" applyBorder="1" applyFont="1">
      <alignment vertical="center"/>
    </xf>
    <xf borderId="4" fillId="0" fontId="1" numFmtId="164" xfId="0" applyAlignment="1" applyBorder="1" applyFont="1" applyNumberFormat="1">
      <alignment horizontal="center" readingOrder="0" shrinkToFit="0" vertical="center" wrapText="1"/>
    </xf>
    <xf borderId="4" fillId="0" fontId="2" numFmtId="1" xfId="0" applyAlignment="1" applyBorder="1" applyFont="1" applyNumberFormat="1">
      <alignment vertical="center"/>
    </xf>
    <xf borderId="2" fillId="0" fontId="1" numFmtId="0" xfId="0" applyAlignment="1" applyBorder="1" applyFont="1">
      <alignment readingOrder="0" shrinkToFit="0" vertical="center" wrapText="1"/>
    </xf>
    <xf borderId="2" fillId="0" fontId="1" numFmtId="0" xfId="0" applyAlignment="1" applyBorder="1" applyFont="1">
      <alignment readingOrder="0" vertical="center"/>
    </xf>
    <xf borderId="4" fillId="0" fontId="1" numFmtId="0" xfId="0" applyAlignment="1" applyBorder="1" applyFont="1">
      <alignment readingOrder="0" vertical="center"/>
    </xf>
    <xf borderId="2" fillId="2" fontId="5" numFmtId="0" xfId="0" applyAlignment="1" applyBorder="1" applyFill="1" applyFont="1">
      <alignment horizontal="center" vertical="center"/>
    </xf>
    <xf borderId="4" fillId="2" fontId="2" numFmtId="1" xfId="0" applyAlignment="1" applyBorder="1" applyFill="1" applyFont="1" applyNumberFormat="1">
      <alignment vertical="center"/>
    </xf>
    <xf borderId="4" fillId="0" fontId="1" numFmtId="164" xfId="0" applyAlignment="1" applyBorder="1" applyFont="1" applyNumberFormat="1">
      <alignment horizontal="center" shrinkToFit="0" vertical="center" wrapText="1"/>
    </xf>
    <xf borderId="4" fillId="0" fontId="2" numFmtId="2" xfId="0" applyAlignment="1" applyBorder="1" applyFont="1" applyNumberFormat="1">
      <alignment vertical="center"/>
    </xf>
    <xf borderId="1" fillId="0" fontId="1" numFmtId="0" xfId="0" applyAlignment="1" applyBorder="1" applyFont="1">
      <alignment readingOrder="0" vertical="center"/>
    </xf>
    <xf borderId="5" fillId="0" fontId="4" numFmtId="0" xfId="0" applyBorder="1" applyFont="1"/>
    <xf borderId="4" fillId="0" fontId="2" numFmtId="0" xfId="0" applyAlignment="1" applyBorder="1" applyFont="1">
      <alignment vertical="center"/>
    </xf>
    <xf borderId="2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4" fillId="0" fontId="2" numFmtId="0" xfId="0" applyAlignment="1" applyBorder="1" applyFont="1">
      <alignment vertical="center"/>
    </xf>
    <xf borderId="2" fillId="3" fontId="5" numFmtId="0" xfId="0" applyAlignment="1" applyBorder="1" applyFill="1" applyFont="1">
      <alignment horizontal="center" vertical="center"/>
    </xf>
    <xf borderId="6" fillId="0" fontId="4" numFmtId="0" xfId="0" applyBorder="1" applyFont="1"/>
    <xf borderId="7" fillId="0" fontId="1" numFmtId="164" xfId="0" applyAlignment="1" applyBorder="1" applyFont="1" applyNumberFormat="1">
      <alignment horizontal="center" shrinkToFit="0" vertical="center" wrapText="1"/>
    </xf>
    <xf borderId="8" fillId="0" fontId="4" numFmtId="0" xfId="0" applyBorder="1" applyFont="1"/>
    <xf borderId="9" fillId="0" fontId="4" numFmtId="0" xfId="0" applyBorder="1" applyFont="1"/>
    <xf borderId="0" fillId="0" fontId="2" numFmtId="9" xfId="0" applyAlignment="1" applyFont="1" applyNumberFormat="1">
      <alignment vertical="bottom"/>
    </xf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0" fillId="0" fontId="2" numFmtId="1" xfId="0" applyAlignment="1" applyFont="1" applyNumberFormat="1">
      <alignment vertical="bottom"/>
    </xf>
    <xf borderId="0" fillId="0" fontId="2" numFmtId="2" xfId="0" applyAlignment="1" applyFont="1" applyNumberFormat="1">
      <alignment vertical="bottom"/>
    </xf>
    <xf borderId="0" fillId="0" fontId="2" numFmtId="10" xfId="0" applyAlignment="1" applyFont="1" applyNumberFormat="1">
      <alignment vertical="bottom"/>
    </xf>
    <xf borderId="1" fillId="0" fontId="2" numFmtId="0" xfId="0" applyAlignment="1" applyBorder="1" applyFont="1">
      <alignment vertical="bottom"/>
    </xf>
    <xf borderId="8" fillId="0" fontId="1" numFmtId="0" xfId="0" applyAlignment="1" applyBorder="1" applyFont="1">
      <alignment horizontal="center" vertical="bottom"/>
    </xf>
    <xf borderId="8" fillId="0" fontId="1" numFmtId="0" xfId="0" applyAlignment="1" applyBorder="1" applyFont="1">
      <alignment horizontal="center" vertical="bottom"/>
    </xf>
    <xf borderId="0" fillId="0" fontId="1" numFmtId="0" xfId="0" applyAlignment="1" applyFont="1">
      <alignment vertical="bottom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933450</xdr:colOff>
      <xdr:row>0</xdr:row>
      <xdr:rowOff>47625</xdr:rowOff>
    </xdr:from>
    <xdr:ext cx="1524000" cy="15240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C343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42.0"/>
    <col customWidth="1" min="8" max="8" width="52.5"/>
  </cols>
  <sheetData>
    <row r="1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B2" s="1" t="s">
        <v>2</v>
      </c>
      <c r="C2" s="3"/>
      <c r="D2" s="3"/>
      <c r="E2" s="3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/>
      <c r="B3" s="3"/>
      <c r="C3" s="3"/>
      <c r="D3" s="3"/>
      <c r="E3" s="3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0.0" customHeight="1">
      <c r="A6" s="5" t="s">
        <v>4</v>
      </c>
      <c r="B6" s="6"/>
      <c r="C6" s="7" t="s">
        <v>5</v>
      </c>
      <c r="D6" s="6"/>
      <c r="E6" s="8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5" t="s">
        <v>6</v>
      </c>
      <c r="B7" s="6"/>
      <c r="C7" s="9"/>
      <c r="D7" s="9"/>
      <c r="E7" s="8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/>
      <c r="B8" s="8"/>
      <c r="C8" s="8"/>
      <c r="D8" s="8"/>
      <c r="E8" s="8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0" t="s">
        <v>7</v>
      </c>
      <c r="B9" s="11"/>
      <c r="C9" s="12" t="s">
        <v>8</v>
      </c>
      <c r="D9" s="12" t="s">
        <v>9</v>
      </c>
      <c r="E9" s="12" t="s">
        <v>10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3" t="s">
        <v>11</v>
      </c>
      <c r="B10" s="11"/>
      <c r="C10" s="14">
        <f>SUM(C11:C15)</f>
        <v>40</v>
      </c>
      <c r="D10" s="15"/>
      <c r="E10" s="16">
        <f>SUM(E11:E14)</f>
        <v>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1.0" customHeight="1">
      <c r="A11" s="17" t="s">
        <v>12</v>
      </c>
      <c r="B11" s="11"/>
      <c r="C11" s="18">
        <v>3.0</v>
      </c>
      <c r="D11" s="19"/>
      <c r="E11" s="19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1.0" customHeight="1">
      <c r="A12" s="20" t="s">
        <v>13</v>
      </c>
      <c r="B12" s="11"/>
      <c r="C12" s="18">
        <v>10.0</v>
      </c>
      <c r="D12" s="19"/>
      <c r="E12" s="19"/>
      <c r="F12" s="2"/>
      <c r="G12" s="2"/>
      <c r="H12" s="8"/>
      <c r="I12" s="8"/>
      <c r="J12" s="8"/>
      <c r="K12" s="8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1.0" customHeight="1">
      <c r="A13" s="21" t="s">
        <v>14</v>
      </c>
      <c r="B13" s="11"/>
      <c r="C13" s="18">
        <v>14.0</v>
      </c>
      <c r="D13" s="19"/>
      <c r="E13" s="19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1.0" customHeight="1">
      <c r="A14" s="21" t="s">
        <v>15</v>
      </c>
      <c r="B14" s="11"/>
      <c r="C14" s="18">
        <v>5.0</v>
      </c>
      <c r="D14" s="19"/>
      <c r="E14" s="19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1.0" customHeight="1">
      <c r="A15" s="22" t="s">
        <v>16</v>
      </c>
      <c r="B15" s="22"/>
      <c r="C15" s="18">
        <v>8.0</v>
      </c>
      <c r="D15" s="19"/>
      <c r="E15" s="19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3" t="s">
        <v>17</v>
      </c>
      <c r="B16" s="11"/>
      <c r="C16" s="14">
        <f>SUM(C17:C26)</f>
        <v>15</v>
      </c>
      <c r="D16" s="24"/>
      <c r="E16" s="16">
        <f>SUM(E17:E26)</f>
        <v>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1.75" customHeight="1">
      <c r="A17" s="21" t="s">
        <v>18</v>
      </c>
      <c r="B17" s="11"/>
      <c r="C17" s="18">
        <v>1.0</v>
      </c>
      <c r="D17" s="19"/>
      <c r="E17" s="19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1.75" customHeight="1">
      <c r="A18" s="20" t="s">
        <v>19</v>
      </c>
      <c r="B18" s="11"/>
      <c r="C18" s="18">
        <v>2.0</v>
      </c>
      <c r="D18" s="19"/>
      <c r="E18" s="19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1.75" customHeight="1">
      <c r="A19" s="20" t="s">
        <v>20</v>
      </c>
      <c r="B19" s="11"/>
      <c r="C19" s="18">
        <v>2.0</v>
      </c>
      <c r="D19" s="19"/>
      <c r="E19" s="19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1.75" customHeight="1">
      <c r="A20" s="20" t="s">
        <v>21</v>
      </c>
      <c r="B20" s="11"/>
      <c r="C20" s="18">
        <v>1.0</v>
      </c>
      <c r="D20" s="19"/>
      <c r="E20" s="19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1.75" customHeight="1">
      <c r="A21" s="20" t="s">
        <v>22</v>
      </c>
      <c r="B21" s="11"/>
      <c r="C21" s="18">
        <v>2.0</v>
      </c>
      <c r="D21" s="19"/>
      <c r="E21" s="19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1.75" customHeight="1">
      <c r="A22" s="20" t="s">
        <v>23</v>
      </c>
      <c r="B22" s="11"/>
      <c r="C22" s="18">
        <v>2.0</v>
      </c>
      <c r="D22" s="19"/>
      <c r="E22" s="19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1.75" customHeight="1">
      <c r="A23" s="21" t="s">
        <v>24</v>
      </c>
      <c r="B23" s="11"/>
      <c r="C23" s="18">
        <v>2.0</v>
      </c>
      <c r="D23" s="19"/>
      <c r="E23" s="19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1.75" customHeight="1">
      <c r="A24" s="21" t="s">
        <v>25</v>
      </c>
      <c r="B24" s="11"/>
      <c r="C24" s="18">
        <v>1.0</v>
      </c>
      <c r="D24" s="19"/>
      <c r="E24" s="19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1.75" customHeight="1">
      <c r="A25" s="21" t="s">
        <v>26</v>
      </c>
      <c r="B25" s="11"/>
      <c r="C25" s="18">
        <v>1.0</v>
      </c>
      <c r="D25" s="19"/>
      <c r="E25" s="19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1.75" customHeight="1">
      <c r="A26" s="21" t="s">
        <v>27</v>
      </c>
      <c r="B26" s="11"/>
      <c r="C26" s="25">
        <v>1.0</v>
      </c>
      <c r="D26" s="19"/>
      <c r="E26" s="19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3" t="s">
        <v>28</v>
      </c>
      <c r="B27" s="11"/>
      <c r="C27" s="14">
        <f>SUM(C28:C32)</f>
        <v>10</v>
      </c>
      <c r="D27" s="24"/>
      <c r="E27" s="16">
        <f>SUM(E28:E32)</f>
        <v>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1.0" customHeight="1">
      <c r="A28" s="21" t="s">
        <v>29</v>
      </c>
      <c r="B28" s="11"/>
      <c r="C28" s="18">
        <v>2.0</v>
      </c>
      <c r="D28" s="19"/>
      <c r="E28" s="26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1.0" customHeight="1">
      <c r="A29" s="27" t="s">
        <v>30</v>
      </c>
      <c r="B29" s="28"/>
      <c r="C29" s="25">
        <v>1.0</v>
      </c>
      <c r="D29" s="19"/>
      <c r="E29" s="26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1.0" customHeight="1">
      <c r="A30" s="21" t="s">
        <v>31</v>
      </c>
      <c r="B30" s="11"/>
      <c r="C30" s="25">
        <v>2.0</v>
      </c>
      <c r="D30" s="19"/>
      <c r="E30" s="26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1.0" customHeight="1">
      <c r="A31" s="21" t="s">
        <v>32</v>
      </c>
      <c r="B31" s="11"/>
      <c r="C31" s="18">
        <v>3.0</v>
      </c>
      <c r="D31" s="19"/>
      <c r="E31" s="26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1.0" customHeight="1">
      <c r="A32" s="21" t="s">
        <v>33</v>
      </c>
      <c r="B32" s="11"/>
      <c r="C32" s="25">
        <v>2.0</v>
      </c>
      <c r="D32" s="29"/>
      <c r="E32" s="26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3" t="s">
        <v>34</v>
      </c>
      <c r="B33" s="11"/>
      <c r="C33" s="14">
        <f>SUM(C34:C38)</f>
        <v>20</v>
      </c>
      <c r="D33" s="15"/>
      <c r="E33" s="16">
        <f>SUM(E34:E37)</f>
        <v>0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30" t="s">
        <v>35</v>
      </c>
      <c r="B34" s="11"/>
      <c r="C34" s="18">
        <v>2.0</v>
      </c>
      <c r="D34" s="29"/>
      <c r="E34" s="26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21" t="s">
        <v>13</v>
      </c>
      <c r="B35" s="11"/>
      <c r="C35" s="18">
        <v>4.0</v>
      </c>
      <c r="D35" s="29"/>
      <c r="E35" s="26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21" t="s">
        <v>14</v>
      </c>
      <c r="B36" s="11"/>
      <c r="C36" s="18">
        <v>6.0</v>
      </c>
      <c r="D36" s="29"/>
      <c r="E36" s="26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30" t="s">
        <v>16</v>
      </c>
      <c r="B37" s="11"/>
      <c r="C37" s="18">
        <v>3.0</v>
      </c>
      <c r="D37" s="29"/>
      <c r="E37" s="26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21" t="s">
        <v>36</v>
      </c>
      <c r="B38" s="11"/>
      <c r="C38" s="18">
        <v>5.0</v>
      </c>
      <c r="D38" s="29"/>
      <c r="E38" s="26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3" t="s">
        <v>37</v>
      </c>
      <c r="B39" s="11"/>
      <c r="C39" s="14">
        <f>SUM(C40:C45)</f>
        <v>15</v>
      </c>
      <c r="D39" s="15"/>
      <c r="E39" s="16">
        <f>SUM(E40)</f>
        <v>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0.25" customHeight="1">
      <c r="A40" s="30" t="s">
        <v>38</v>
      </c>
      <c r="B40" s="11"/>
      <c r="C40" s="18">
        <v>1.0</v>
      </c>
      <c r="D40" s="29"/>
      <c r="E40" s="26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1" t="s">
        <v>39</v>
      </c>
      <c r="B41" s="11"/>
      <c r="C41" s="18">
        <v>1.0</v>
      </c>
      <c r="D41" s="29"/>
      <c r="E41" s="26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1" t="s">
        <v>40</v>
      </c>
      <c r="B42" s="11"/>
      <c r="C42" s="18">
        <v>1.0</v>
      </c>
      <c r="D42" s="29"/>
      <c r="E42" s="26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0" t="s">
        <v>41</v>
      </c>
      <c r="B43" s="11"/>
      <c r="C43" s="18">
        <v>2.0</v>
      </c>
      <c r="D43" s="29"/>
      <c r="E43" s="26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0" t="s">
        <v>42</v>
      </c>
      <c r="B44" s="11"/>
      <c r="C44" s="18">
        <v>2.0</v>
      </c>
      <c r="D44" s="29"/>
      <c r="E44" s="26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1" t="s">
        <v>43</v>
      </c>
      <c r="B45" s="32"/>
      <c r="C45" s="18">
        <v>8.0</v>
      </c>
      <c r="D45" s="29"/>
      <c r="E45" s="26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3" t="s">
        <v>44</v>
      </c>
      <c r="B46" s="11"/>
      <c r="C46" s="14">
        <f>SUM(C39,C33,C27,C16,C10)</f>
        <v>100</v>
      </c>
      <c r="D46" s="15"/>
      <c r="E46" s="16">
        <f>SUM(E39,E33,E27,E16,E10)</f>
        <v>0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3" t="s">
        <v>45</v>
      </c>
      <c r="B47" s="34"/>
      <c r="C47" s="34"/>
      <c r="D47" s="34"/>
      <c r="E47" s="11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9.5" customHeight="1">
      <c r="A48" s="30" t="s">
        <v>46</v>
      </c>
      <c r="B48" s="11"/>
      <c r="C48" s="35" t="s">
        <v>47</v>
      </c>
      <c r="D48" s="36"/>
      <c r="E48" s="37"/>
      <c r="F48" s="2"/>
      <c r="G48" s="2"/>
      <c r="H48" s="38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9.5" customHeight="1">
      <c r="A49" s="30" t="s">
        <v>48</v>
      </c>
      <c r="B49" s="11"/>
      <c r="C49" s="39"/>
      <c r="E49" s="40"/>
      <c r="F49" s="2"/>
      <c r="G49" s="2"/>
      <c r="H49" s="38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9.5" customHeight="1">
      <c r="A50" s="30" t="s">
        <v>49</v>
      </c>
      <c r="B50" s="11"/>
      <c r="C50" s="39"/>
      <c r="E50" s="40"/>
      <c r="F50" s="2"/>
      <c r="G50" s="2"/>
      <c r="H50" s="38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9.5" customHeight="1">
      <c r="A51" s="30" t="s">
        <v>50</v>
      </c>
      <c r="B51" s="11"/>
      <c r="C51" s="39"/>
      <c r="E51" s="40"/>
      <c r="F51" s="2"/>
      <c r="G51" s="2"/>
      <c r="H51" s="38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9.5" customHeight="1">
      <c r="A52" s="21" t="s">
        <v>51</v>
      </c>
      <c r="B52" s="11"/>
      <c r="C52" s="39"/>
      <c r="E52" s="40"/>
      <c r="F52" s="2"/>
      <c r="G52" s="2"/>
      <c r="H52" s="38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9.5" customHeight="1">
      <c r="A53" s="30" t="s">
        <v>52</v>
      </c>
      <c r="B53" s="11"/>
      <c r="C53" s="39"/>
      <c r="E53" s="40"/>
      <c r="F53" s="2"/>
      <c r="G53" s="2"/>
      <c r="H53" s="38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9.5" customHeight="1">
      <c r="A54" s="30" t="s">
        <v>53</v>
      </c>
      <c r="B54" s="11"/>
      <c r="C54" s="41"/>
      <c r="D54" s="9"/>
      <c r="E54" s="28"/>
      <c r="F54" s="2"/>
      <c r="G54" s="2"/>
      <c r="H54" s="38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8"/>
      <c r="B55" s="8"/>
      <c r="C55" s="42"/>
      <c r="D55" s="2"/>
      <c r="E55" s="43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8"/>
      <c r="B56" s="8"/>
      <c r="C56" s="42"/>
      <c r="D56" s="2"/>
      <c r="E56" s="43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6"/>
      <c r="B57" s="9"/>
      <c r="C57" s="44"/>
      <c r="D57" s="45"/>
      <c r="E57" s="9"/>
      <c r="F57" s="2"/>
      <c r="G57" s="2"/>
      <c r="H57" s="2"/>
      <c r="I57" s="38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46" t="s">
        <v>54</v>
      </c>
      <c r="B58" s="36"/>
      <c r="C58" s="44"/>
      <c r="D58" s="47" t="s">
        <v>55</v>
      </c>
      <c r="E58" s="36"/>
      <c r="F58" s="2"/>
      <c r="G58" s="2"/>
      <c r="H58" s="2"/>
      <c r="I58" s="38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8"/>
      <c r="B59" s="8"/>
      <c r="C59" s="44"/>
      <c r="D59" s="2"/>
      <c r="E59" s="43"/>
      <c r="F59" s="2"/>
      <c r="G59" s="2"/>
      <c r="H59" s="2"/>
      <c r="I59" s="38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48" t="s">
        <v>56</v>
      </c>
      <c r="B60" s="48" t="s">
        <v>57</v>
      </c>
      <c r="C60" s="44"/>
      <c r="D60" s="2"/>
      <c r="E60" s="43"/>
      <c r="F60" s="2"/>
      <c r="G60" s="2"/>
      <c r="H60" s="2"/>
      <c r="I60" s="3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8"/>
      <c r="B61" s="8"/>
      <c r="C61" s="44"/>
      <c r="D61" s="2"/>
      <c r="E61" s="43"/>
      <c r="F61" s="2"/>
      <c r="G61" s="2"/>
      <c r="H61" s="8"/>
      <c r="I61" s="38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8"/>
      <c r="B62" s="8"/>
      <c r="C62" s="44"/>
      <c r="D62" s="2"/>
      <c r="E62" s="43"/>
      <c r="F62" s="2"/>
      <c r="G62" s="2"/>
      <c r="H62" s="8"/>
      <c r="I62" s="38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8"/>
      <c r="B63" s="8"/>
      <c r="C63" s="42"/>
      <c r="D63" s="2"/>
      <c r="E63" s="43"/>
      <c r="F63" s="2"/>
      <c r="G63" s="2"/>
      <c r="H63" s="2"/>
      <c r="I63" s="38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38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49"/>
      <c r="B997" s="49"/>
      <c r="C997" s="49"/>
      <c r="D997" s="49"/>
      <c r="E997" s="49"/>
      <c r="F997" s="49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</row>
    <row r="998">
      <c r="A998" s="49"/>
      <c r="B998" s="49"/>
      <c r="C998" s="49"/>
      <c r="D998" s="49"/>
      <c r="E998" s="49"/>
      <c r="F998" s="49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</row>
    <row r="999">
      <c r="A999" s="49"/>
      <c r="B999" s="49"/>
      <c r="C999" s="49"/>
      <c r="D999" s="49"/>
      <c r="E999" s="49"/>
      <c r="F999" s="49"/>
      <c r="G999" s="49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49"/>
    </row>
    <row r="1000">
      <c r="A1000" s="49"/>
      <c r="B1000" s="49"/>
      <c r="C1000" s="49"/>
      <c r="D1000" s="49"/>
      <c r="E1000" s="49"/>
      <c r="F1000" s="49"/>
      <c r="G1000" s="49"/>
      <c r="H1000" s="49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9"/>
      <c r="V1000" s="49"/>
      <c r="W1000" s="49"/>
      <c r="X1000" s="49"/>
      <c r="Y1000" s="49"/>
      <c r="Z1000" s="49"/>
    </row>
    <row r="1001">
      <c r="A1001" s="49"/>
      <c r="B1001" s="49"/>
      <c r="C1001" s="49"/>
      <c r="D1001" s="49"/>
      <c r="E1001" s="49"/>
      <c r="F1001" s="49"/>
      <c r="G1001" s="49"/>
      <c r="H1001" s="49"/>
      <c r="I1001" s="49"/>
      <c r="J1001" s="49"/>
      <c r="K1001" s="49"/>
      <c r="L1001" s="49"/>
      <c r="M1001" s="49"/>
      <c r="N1001" s="49"/>
      <c r="O1001" s="49"/>
      <c r="P1001" s="49"/>
      <c r="Q1001" s="49"/>
      <c r="R1001" s="49"/>
      <c r="S1001" s="49"/>
      <c r="T1001" s="49"/>
      <c r="U1001" s="49"/>
      <c r="V1001" s="49"/>
      <c r="W1001" s="49"/>
      <c r="X1001" s="49"/>
      <c r="Y1001" s="49"/>
      <c r="Z1001" s="49"/>
    </row>
    <row r="1002">
      <c r="A1002" s="49"/>
      <c r="B1002" s="49"/>
      <c r="C1002" s="49"/>
      <c r="D1002" s="49"/>
      <c r="E1002" s="49"/>
      <c r="F1002" s="49"/>
      <c r="G1002" s="49"/>
      <c r="H1002" s="49"/>
      <c r="I1002" s="49"/>
      <c r="J1002" s="49"/>
      <c r="K1002" s="49"/>
      <c r="L1002" s="49"/>
      <c r="M1002" s="49"/>
      <c r="N1002" s="49"/>
      <c r="O1002" s="49"/>
      <c r="P1002" s="49"/>
      <c r="Q1002" s="49"/>
      <c r="R1002" s="49"/>
      <c r="S1002" s="49"/>
      <c r="T1002" s="49"/>
      <c r="U1002" s="49"/>
      <c r="V1002" s="49"/>
      <c r="W1002" s="49"/>
      <c r="X1002" s="49"/>
      <c r="Y1002" s="49"/>
      <c r="Z1002" s="49"/>
    </row>
    <row r="1003">
      <c r="A1003" s="49"/>
      <c r="B1003" s="49"/>
      <c r="C1003" s="49"/>
      <c r="D1003" s="49"/>
      <c r="E1003" s="49"/>
      <c r="F1003" s="49"/>
      <c r="G1003" s="49"/>
      <c r="H1003" s="49"/>
      <c r="I1003" s="49"/>
      <c r="J1003" s="49"/>
      <c r="K1003" s="49"/>
      <c r="L1003" s="49"/>
      <c r="M1003" s="49"/>
      <c r="N1003" s="49"/>
      <c r="O1003" s="49"/>
      <c r="P1003" s="49"/>
      <c r="Q1003" s="49"/>
      <c r="R1003" s="49"/>
      <c r="S1003" s="49"/>
      <c r="T1003" s="49"/>
      <c r="U1003" s="49"/>
      <c r="V1003" s="49"/>
      <c r="W1003" s="49"/>
      <c r="X1003" s="49"/>
      <c r="Y1003" s="49"/>
      <c r="Z1003" s="49"/>
    </row>
  </sheetData>
  <mergeCells count="52">
    <mergeCell ref="A53:B53"/>
    <mergeCell ref="A54:B54"/>
    <mergeCell ref="A57:B57"/>
    <mergeCell ref="A58:B58"/>
    <mergeCell ref="D57:E57"/>
    <mergeCell ref="D58:E58"/>
    <mergeCell ref="A42:B42"/>
    <mergeCell ref="A43:B43"/>
    <mergeCell ref="A44:B44"/>
    <mergeCell ref="A46:B46"/>
    <mergeCell ref="A47:E47"/>
    <mergeCell ref="A48:B48"/>
    <mergeCell ref="C48:E54"/>
    <mergeCell ref="A1:E1"/>
    <mergeCell ref="A4:E5"/>
    <mergeCell ref="B7:D7"/>
    <mergeCell ref="A9:B9"/>
    <mergeCell ref="A10:B10"/>
    <mergeCell ref="A11:B11"/>
    <mergeCell ref="A12:B12"/>
    <mergeCell ref="A13:B13"/>
    <mergeCell ref="A14:B14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9:B49"/>
    <mergeCell ref="A50:B50"/>
    <mergeCell ref="A51:B51"/>
    <mergeCell ref="A52:B52"/>
  </mergeCells>
  <printOptions horizontalCentered="1"/>
  <pageMargins bottom="0.75" footer="0.0" header="0.0" left="0.7" right="0.7" top="0.75"/>
  <pageSetup fitToHeight="0" paperSize="9" cellComments="atEnd" orientation="portrait" pageOrder="overThenDown"/>
  <drawing r:id="rId1"/>
</worksheet>
</file>